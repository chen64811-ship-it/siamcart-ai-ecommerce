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T:\thai-ecommerce-agent\"/>
    </mc:Choice>
  </mc:AlternateContent>
  <xr:revisionPtr revIDLastSave="0" documentId="8_{0A67A26C-0ADE-4FC8-AEFE-67084E3A30A5}" xr6:coauthVersionLast="47" xr6:coauthVersionMax="47" xr10:uidLastSave="{00000000-0000-0000-0000-000000000000}"/>
  <bookViews>
    <workbookView xWindow="-120" yWindow="-120" windowWidth="29040" windowHeight="15720" xr2:uid="{00000000-000D-0000-FFFF-FFFF00000000}"/>
  </bookViews>
  <sheets>
    <sheet name="Response review" sheetId="1" r:id="rId1"/>
    <sheet name="Criterion review" sheetId="2" r:id="rId2"/>
    <sheet name="Review guid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5" i="2" l="1"/>
  <c r="G374" i="2"/>
  <c r="G373" i="2"/>
  <c r="H179" i="1" s="1"/>
  <c r="G358" i="2"/>
  <c r="G357" i="2"/>
  <c r="G319" i="2"/>
  <c r="G318" i="2"/>
  <c r="G317" i="2"/>
  <c r="G316" i="2"/>
  <c r="G315" i="2"/>
  <c r="G314" i="2"/>
  <c r="G313" i="2"/>
  <c r="G312" i="2"/>
  <c r="G311" i="2"/>
  <c r="G310" i="2"/>
  <c r="G309" i="2"/>
  <c r="G308" i="2"/>
  <c r="G307" i="2"/>
  <c r="G306" i="2"/>
  <c r="G305" i="2"/>
  <c r="G304" i="2"/>
  <c r="G303" i="2"/>
  <c r="G302" i="2"/>
  <c r="G301" i="2"/>
  <c r="G300" i="2"/>
  <c r="G299" i="2"/>
  <c r="G298" i="2"/>
  <c r="G297" i="2"/>
  <c r="G296" i="2"/>
  <c r="G293" i="2"/>
  <c r="G292" i="2"/>
  <c r="G289" i="2"/>
  <c r="G288" i="2"/>
  <c r="G281" i="2"/>
  <c r="G280" i="2"/>
  <c r="G276" i="2"/>
  <c r="G275" i="2"/>
  <c r="G271" i="2"/>
  <c r="G270" i="2"/>
  <c r="G193" i="2"/>
  <c r="G192" i="2"/>
  <c r="G191" i="2"/>
  <c r="G190" i="2"/>
  <c r="G189" i="2"/>
  <c r="G188" i="2"/>
  <c r="G187" i="2"/>
  <c r="G186" i="2"/>
  <c r="G185" i="2"/>
  <c r="G184" i="2"/>
  <c r="G183" i="2"/>
  <c r="G182" i="2"/>
  <c r="G181" i="2"/>
  <c r="G180" i="2"/>
  <c r="G179" i="2"/>
  <c r="G178" i="2"/>
  <c r="G177" i="2"/>
  <c r="G176" i="2"/>
  <c r="G175" i="2"/>
  <c r="G174" i="2"/>
  <c r="G173" i="2"/>
  <c r="G172" i="2"/>
  <c r="G171" i="2"/>
  <c r="G170" i="2"/>
  <c r="G167" i="2"/>
  <c r="G166" i="2"/>
  <c r="G163" i="2"/>
  <c r="G162" i="2"/>
  <c r="G155" i="2"/>
  <c r="G154" i="2"/>
  <c r="G150" i="2"/>
  <c r="G149" i="2"/>
  <c r="G145" i="2"/>
  <c r="G144" i="2"/>
  <c r="H184" i="1"/>
  <c r="G184" i="1"/>
  <c r="J184" i="1" s="1"/>
  <c r="H183" i="1"/>
  <c r="G183" i="1"/>
  <c r="J183" i="1" s="1"/>
  <c r="J182" i="1"/>
  <c r="H182" i="1"/>
  <c r="G182" i="1"/>
  <c r="H181" i="1"/>
  <c r="G181" i="1"/>
  <c r="J181" i="1" s="1"/>
  <c r="I180" i="1"/>
  <c r="I179" i="1"/>
  <c r="G179" i="1"/>
  <c r="H178" i="1"/>
  <c r="G178" i="1"/>
  <c r="J178" i="1" s="1"/>
  <c r="H177" i="1"/>
  <c r="G177" i="1"/>
  <c r="J177" i="1" s="1"/>
  <c r="H176" i="1"/>
  <c r="G176" i="1"/>
  <c r="J176" i="1" s="1"/>
  <c r="H175" i="1"/>
  <c r="G175" i="1"/>
  <c r="J175" i="1" s="1"/>
  <c r="H174" i="1"/>
  <c r="G174" i="1"/>
  <c r="J174" i="1" s="1"/>
  <c r="H173" i="1"/>
  <c r="G173" i="1"/>
  <c r="J173" i="1" s="1"/>
  <c r="I172" i="1"/>
  <c r="H172" i="1"/>
  <c r="G172" i="1"/>
  <c r="J172" i="1" s="1"/>
  <c r="H171" i="1"/>
  <c r="G171" i="1"/>
  <c r="J171" i="1" s="1"/>
  <c r="H170" i="1"/>
  <c r="G170" i="1"/>
  <c r="J170" i="1" s="1"/>
  <c r="H169" i="1"/>
  <c r="G169" i="1"/>
  <c r="J169" i="1" s="1"/>
  <c r="H168" i="1"/>
  <c r="G168" i="1"/>
  <c r="J168" i="1" s="1"/>
  <c r="H167" i="1"/>
  <c r="G167" i="1"/>
  <c r="J167" i="1" s="1"/>
  <c r="H166" i="1"/>
  <c r="G166" i="1"/>
  <c r="J166" i="1" s="1"/>
  <c r="H165" i="1"/>
  <c r="G165" i="1"/>
  <c r="J165" i="1" s="1"/>
  <c r="H164" i="1"/>
  <c r="G164" i="1"/>
  <c r="J164" i="1" s="1"/>
  <c r="H163" i="1"/>
  <c r="G163" i="1"/>
  <c r="J163" i="1" s="1"/>
  <c r="H162" i="1"/>
  <c r="G162" i="1"/>
  <c r="J162" i="1" s="1"/>
  <c r="H161" i="1"/>
  <c r="G161" i="1"/>
  <c r="J161" i="1" s="1"/>
  <c r="H160" i="1"/>
  <c r="G160" i="1"/>
  <c r="J160" i="1" s="1"/>
  <c r="H159" i="1"/>
  <c r="G159" i="1"/>
  <c r="J159" i="1" s="1"/>
  <c r="H158" i="1"/>
  <c r="G158" i="1"/>
  <c r="J158" i="1" s="1"/>
  <c r="H157" i="1"/>
  <c r="G157" i="1"/>
  <c r="J157" i="1" s="1"/>
  <c r="J156" i="1"/>
  <c r="H156" i="1"/>
  <c r="G156" i="1"/>
  <c r="H155" i="1"/>
  <c r="G155" i="1"/>
  <c r="J155" i="1" s="1"/>
  <c r="I154" i="1"/>
  <c r="I153" i="1"/>
  <c r="I152" i="1"/>
  <c r="I151" i="1"/>
  <c r="I150" i="1"/>
  <c r="I149" i="1"/>
  <c r="I148" i="1"/>
  <c r="I147" i="1"/>
  <c r="I146" i="1"/>
  <c r="I145" i="1"/>
  <c r="I144" i="1"/>
  <c r="I143" i="1"/>
  <c r="H142" i="1"/>
  <c r="G142" i="1"/>
  <c r="J142" i="1" s="1"/>
  <c r="I141" i="1"/>
  <c r="H140" i="1"/>
  <c r="G140" i="1"/>
  <c r="J140" i="1" s="1"/>
  <c r="I139" i="1"/>
  <c r="H138" i="1"/>
  <c r="G138" i="1"/>
  <c r="J138" i="1" s="1"/>
  <c r="H137" i="1"/>
  <c r="G137" i="1"/>
  <c r="J137" i="1" s="1"/>
  <c r="H136" i="1"/>
  <c r="G136" i="1"/>
  <c r="J136" i="1" s="1"/>
  <c r="I135" i="1"/>
  <c r="H134" i="1"/>
  <c r="G134" i="1"/>
  <c r="J134" i="1" s="1"/>
  <c r="I133" i="1"/>
  <c r="H132" i="1"/>
  <c r="G132" i="1"/>
  <c r="J132" i="1" s="1"/>
  <c r="I131" i="1"/>
  <c r="H130" i="1"/>
  <c r="G130" i="1"/>
  <c r="J130" i="1" s="1"/>
  <c r="H129" i="1"/>
  <c r="G129" i="1"/>
  <c r="J129" i="1" s="1"/>
  <c r="H128" i="1"/>
  <c r="G128" i="1"/>
  <c r="J128" i="1" s="1"/>
  <c r="H127" i="1"/>
  <c r="G127" i="1"/>
  <c r="J127" i="1" s="1"/>
  <c r="H126" i="1"/>
  <c r="G126" i="1"/>
  <c r="J126" i="1" s="1"/>
  <c r="H125" i="1"/>
  <c r="G125" i="1"/>
  <c r="J125" i="1" s="1"/>
  <c r="H124" i="1"/>
  <c r="G124" i="1"/>
  <c r="J124" i="1" s="1"/>
  <c r="H123" i="1"/>
  <c r="G123" i="1"/>
  <c r="J123" i="1" s="1"/>
  <c r="H122" i="1"/>
  <c r="G122" i="1"/>
  <c r="J122" i="1" s="1"/>
  <c r="H121" i="1"/>
  <c r="G121" i="1"/>
  <c r="J121" i="1" s="1"/>
  <c r="H120" i="1"/>
  <c r="G120" i="1"/>
  <c r="J120" i="1" s="1"/>
  <c r="H119" i="1"/>
  <c r="G119" i="1"/>
  <c r="J119" i="1" s="1"/>
  <c r="H118" i="1"/>
  <c r="G118" i="1"/>
  <c r="J118" i="1" s="1"/>
  <c r="H117" i="1"/>
  <c r="G117" i="1"/>
  <c r="J117" i="1" s="1"/>
  <c r="H116" i="1"/>
  <c r="G116" i="1"/>
  <c r="J116" i="1" s="1"/>
  <c r="H115" i="1"/>
  <c r="G115" i="1"/>
  <c r="J115" i="1" s="1"/>
  <c r="H114" i="1"/>
  <c r="G114" i="1"/>
  <c r="J114" i="1" s="1"/>
  <c r="H113" i="1"/>
  <c r="G113" i="1"/>
  <c r="J113" i="1" s="1"/>
  <c r="H112" i="1"/>
  <c r="G112" i="1"/>
  <c r="J112" i="1" s="1"/>
  <c r="H111" i="1"/>
  <c r="G111" i="1"/>
  <c r="J111" i="1" s="1"/>
  <c r="H110" i="1"/>
  <c r="G110" i="1"/>
  <c r="J110" i="1" s="1"/>
  <c r="H109" i="1"/>
  <c r="G109" i="1"/>
  <c r="J109" i="1" s="1"/>
  <c r="H108" i="1"/>
  <c r="G108" i="1"/>
  <c r="J108" i="1" s="1"/>
  <c r="H107" i="1"/>
  <c r="G107" i="1"/>
  <c r="J107" i="1" s="1"/>
  <c r="H106" i="1"/>
  <c r="G106" i="1"/>
  <c r="J106" i="1" s="1"/>
  <c r="H105" i="1"/>
  <c r="G105" i="1"/>
  <c r="J105" i="1" s="1"/>
  <c r="H104" i="1"/>
  <c r="G104" i="1"/>
  <c r="J104" i="1" s="1"/>
  <c r="H103" i="1"/>
  <c r="G103" i="1"/>
  <c r="J103" i="1" s="1"/>
  <c r="H102" i="1"/>
  <c r="G102" i="1"/>
  <c r="J102" i="1" s="1"/>
  <c r="H101" i="1"/>
  <c r="G101" i="1"/>
  <c r="J101" i="1" s="1"/>
  <c r="H100" i="1"/>
  <c r="G100" i="1"/>
  <c r="J100" i="1" s="1"/>
  <c r="H99" i="1"/>
  <c r="G99" i="1"/>
  <c r="J99" i="1" s="1"/>
  <c r="H98" i="1"/>
  <c r="G98" i="1"/>
  <c r="J98" i="1" s="1"/>
  <c r="H97" i="1"/>
  <c r="J97" i="1"/>
  <c r="H96" i="1"/>
  <c r="G96" i="1"/>
  <c r="J96" i="1" s="1"/>
  <c r="H95" i="1"/>
  <c r="G95" i="1"/>
  <c r="J95" i="1" s="1"/>
  <c r="I94" i="1"/>
  <c r="I93" i="1"/>
  <c r="I92" i="1"/>
  <c r="I91" i="1"/>
  <c r="I90" i="1"/>
  <c r="I89" i="1"/>
  <c r="I88" i="1"/>
  <c r="I87" i="1"/>
  <c r="I86" i="1"/>
  <c r="I85" i="1"/>
  <c r="I84" i="1"/>
  <c r="I83" i="1"/>
  <c r="H82" i="1"/>
  <c r="G82" i="1"/>
  <c r="J82" i="1" s="1"/>
  <c r="I81" i="1"/>
  <c r="H80" i="1"/>
  <c r="G80" i="1"/>
  <c r="J80" i="1" s="1"/>
  <c r="I79" i="1"/>
  <c r="H78" i="1"/>
  <c r="G78" i="1"/>
  <c r="J78" i="1" s="1"/>
  <c r="H77" i="1"/>
  <c r="G77" i="1"/>
  <c r="J77" i="1" s="1"/>
  <c r="H76" i="1"/>
  <c r="G76" i="1"/>
  <c r="J76" i="1" s="1"/>
  <c r="I75" i="1"/>
  <c r="H74" i="1"/>
  <c r="G74" i="1"/>
  <c r="J74" i="1" s="1"/>
  <c r="I73" i="1"/>
  <c r="J72" i="1"/>
  <c r="H72" i="1"/>
  <c r="G72" i="1"/>
  <c r="I71" i="1"/>
  <c r="H70" i="1"/>
  <c r="G70" i="1"/>
  <c r="J70" i="1" s="1"/>
  <c r="H69" i="1"/>
  <c r="G69" i="1"/>
  <c r="J69" i="1" s="1"/>
  <c r="H68" i="1"/>
  <c r="G68" i="1"/>
  <c r="J68" i="1" s="1"/>
  <c r="H67" i="1"/>
  <c r="G67" i="1"/>
  <c r="J67" i="1" s="1"/>
  <c r="H66" i="1"/>
  <c r="G66" i="1"/>
  <c r="J66" i="1" s="1"/>
  <c r="H65" i="1"/>
  <c r="G65" i="1"/>
  <c r="J65" i="1" s="1"/>
  <c r="H64" i="1"/>
  <c r="G64" i="1"/>
  <c r="J64" i="1" s="1"/>
  <c r="H63" i="1"/>
  <c r="G63" i="1"/>
  <c r="J63" i="1" s="1"/>
  <c r="H62" i="1"/>
  <c r="G62" i="1"/>
  <c r="J62" i="1" s="1"/>
  <c r="H61" i="1"/>
  <c r="G61" i="1"/>
  <c r="J61" i="1" s="1"/>
  <c r="H60" i="1"/>
  <c r="G60" i="1"/>
  <c r="J60" i="1" s="1"/>
  <c r="J59" i="1"/>
  <c r="H59" i="1"/>
  <c r="G59" i="1"/>
  <c r="H58" i="1"/>
  <c r="G58" i="1"/>
  <c r="J58" i="1" s="1"/>
  <c r="H57" i="1"/>
  <c r="G57" i="1"/>
  <c r="J57" i="1" s="1"/>
  <c r="H56" i="1"/>
  <c r="G56" i="1"/>
  <c r="J56" i="1" s="1"/>
  <c r="H55" i="1"/>
  <c r="G55" i="1"/>
  <c r="J55" i="1" s="1"/>
  <c r="H54" i="1"/>
  <c r="G54" i="1"/>
  <c r="J54" i="1" s="1"/>
  <c r="H53" i="1"/>
  <c r="G53" i="1"/>
  <c r="J53" i="1" s="1"/>
  <c r="H52" i="1"/>
  <c r="G52" i="1"/>
  <c r="J52" i="1" s="1"/>
  <c r="H51" i="1"/>
  <c r="G51" i="1"/>
  <c r="J51" i="1" s="1"/>
  <c r="H50" i="1"/>
  <c r="G50" i="1"/>
  <c r="J50" i="1" s="1"/>
  <c r="H49" i="1"/>
  <c r="G49" i="1"/>
  <c r="J49" i="1" s="1"/>
  <c r="H48" i="1"/>
  <c r="G48" i="1"/>
  <c r="J48" i="1" s="1"/>
  <c r="H47" i="1"/>
  <c r="G47" i="1"/>
  <c r="J47" i="1" s="1"/>
  <c r="H46" i="1"/>
  <c r="G46" i="1"/>
  <c r="J46" i="1" s="1"/>
  <c r="J45" i="1"/>
  <c r="H45" i="1"/>
  <c r="G45" i="1"/>
  <c r="H44" i="1"/>
  <c r="G44" i="1"/>
  <c r="J44" i="1" s="1"/>
  <c r="H43" i="1"/>
  <c r="G43" i="1"/>
  <c r="J43" i="1" s="1"/>
  <c r="H42" i="1"/>
  <c r="G42" i="1"/>
  <c r="J42" i="1" s="1"/>
  <c r="H41" i="1"/>
  <c r="G41" i="1"/>
  <c r="J41" i="1" s="1"/>
  <c r="H40" i="1"/>
  <c r="G40" i="1"/>
  <c r="J40" i="1" s="1"/>
  <c r="H39" i="1"/>
  <c r="G39" i="1"/>
  <c r="J39" i="1" s="1"/>
  <c r="H38" i="1"/>
  <c r="G38" i="1"/>
  <c r="J38" i="1" s="1"/>
  <c r="H37" i="1"/>
  <c r="G37" i="1"/>
  <c r="J37" i="1" s="1"/>
  <c r="H36" i="1"/>
  <c r="G36" i="1"/>
  <c r="J36" i="1" s="1"/>
  <c r="H35" i="1"/>
  <c r="G35" i="1"/>
  <c r="J35" i="1" s="1"/>
  <c r="H34" i="1"/>
  <c r="G34" i="1"/>
  <c r="J34" i="1" s="1"/>
  <c r="H33" i="1"/>
  <c r="G33" i="1"/>
  <c r="J33" i="1" s="1"/>
  <c r="H32" i="1"/>
  <c r="G32" i="1"/>
  <c r="J32" i="1" s="1"/>
  <c r="H31" i="1"/>
  <c r="G31" i="1"/>
  <c r="J31" i="1" s="1"/>
  <c r="H30" i="1"/>
  <c r="G30" i="1"/>
  <c r="J30" i="1" s="1"/>
  <c r="H29" i="1"/>
  <c r="G29" i="1"/>
  <c r="J29" i="1" s="1"/>
  <c r="H28" i="1"/>
  <c r="G28" i="1"/>
  <c r="J28" i="1" s="1"/>
  <c r="H27" i="1"/>
  <c r="G27" i="1"/>
  <c r="J27" i="1" s="1"/>
  <c r="H26" i="1"/>
  <c r="G26" i="1"/>
  <c r="J26" i="1" s="1"/>
  <c r="H25" i="1"/>
  <c r="G25" i="1"/>
  <c r="J25" i="1" s="1"/>
  <c r="H24" i="1"/>
  <c r="G24" i="1"/>
  <c r="J24" i="1" s="1"/>
  <c r="H23" i="1"/>
  <c r="G23" i="1"/>
  <c r="J23" i="1" s="1"/>
  <c r="H22" i="1"/>
  <c r="G22" i="1"/>
  <c r="J22" i="1" s="1"/>
  <c r="H21" i="1"/>
  <c r="G21" i="1"/>
  <c r="J21" i="1" s="1"/>
  <c r="H20" i="1"/>
  <c r="G20" i="1"/>
  <c r="J20" i="1" s="1"/>
  <c r="H19" i="1"/>
  <c r="G19" i="1"/>
  <c r="J19" i="1" s="1"/>
  <c r="H18" i="1"/>
  <c r="G18" i="1"/>
  <c r="J18" i="1" s="1"/>
  <c r="H17" i="1"/>
  <c r="G17" i="1"/>
  <c r="J17" i="1" s="1"/>
  <c r="H16" i="1"/>
  <c r="G16" i="1"/>
  <c r="J16" i="1" s="1"/>
  <c r="H15" i="1"/>
  <c r="G15" i="1"/>
  <c r="J15" i="1" s="1"/>
  <c r="H14" i="1"/>
  <c r="G14" i="1"/>
  <c r="J14" i="1" s="1"/>
  <c r="H13" i="1"/>
  <c r="G13" i="1"/>
  <c r="J13" i="1" s="1"/>
  <c r="H12" i="1"/>
  <c r="G12" i="1"/>
  <c r="J12" i="1" s="1"/>
  <c r="H11" i="1"/>
  <c r="G11" i="1"/>
  <c r="J11" i="1" s="1"/>
  <c r="H10" i="1"/>
  <c r="G10" i="1"/>
  <c r="J10" i="1" s="1"/>
  <c r="H9" i="1"/>
  <c r="G9" i="1"/>
  <c r="J9" i="1" s="1"/>
  <c r="H8" i="1"/>
  <c r="G8" i="1"/>
  <c r="J8" i="1" s="1"/>
  <c r="H7" i="1"/>
  <c r="G7" i="1"/>
  <c r="J7" i="1" s="1"/>
  <c r="H6" i="1"/>
  <c r="G6" i="1"/>
  <c r="J6" i="1" s="1"/>
  <c r="H5" i="1"/>
  <c r="G5" i="1"/>
  <c r="J5" i="1" s="1"/>
  <c r="J179" i="1" l="1"/>
  <c r="H180" i="1"/>
  <c r="G180" i="1"/>
  <c r="J180" i="1" s="1"/>
  <c r="G154" i="1"/>
  <c r="J154" i="1" s="1"/>
  <c r="H154" i="1"/>
  <c r="H153" i="1"/>
  <c r="G153" i="1"/>
  <c r="J153" i="1" s="1"/>
  <c r="G152" i="1"/>
  <c r="J152" i="1" s="1"/>
  <c r="H152" i="1"/>
  <c r="H151" i="1"/>
  <c r="G151" i="1"/>
  <c r="J151" i="1" s="1"/>
  <c r="G150" i="1"/>
  <c r="J150" i="1" s="1"/>
  <c r="H150" i="1"/>
  <c r="H149" i="1"/>
  <c r="G149" i="1"/>
  <c r="J149" i="1" s="1"/>
  <c r="H148" i="1"/>
  <c r="G148" i="1"/>
  <c r="J148" i="1" s="1"/>
  <c r="G147" i="1"/>
  <c r="J147" i="1" s="1"/>
  <c r="H147" i="1"/>
  <c r="H146" i="1"/>
  <c r="G146" i="1"/>
  <c r="J146" i="1" s="1"/>
  <c r="G145" i="1"/>
  <c r="J145" i="1" s="1"/>
  <c r="H145" i="1"/>
  <c r="G144" i="1"/>
  <c r="J144" i="1" s="1"/>
  <c r="H144" i="1"/>
  <c r="H143" i="1"/>
  <c r="G143" i="1"/>
  <c r="J143" i="1" s="1"/>
  <c r="G141" i="1"/>
  <c r="J141" i="1" s="1"/>
  <c r="H141" i="1"/>
  <c r="H139" i="1"/>
  <c r="G139" i="1"/>
  <c r="J139" i="1" s="1"/>
  <c r="G135" i="1"/>
  <c r="J135" i="1" s="1"/>
  <c r="H135" i="1"/>
  <c r="G133" i="1"/>
  <c r="J133" i="1" s="1"/>
  <c r="H133" i="1"/>
  <c r="H131" i="1"/>
  <c r="G131" i="1"/>
  <c r="J131" i="1" s="1"/>
  <c r="G94" i="1"/>
  <c r="J94" i="1" s="1"/>
  <c r="H94" i="1"/>
  <c r="H93" i="1"/>
  <c r="G93" i="1"/>
  <c r="J93" i="1" s="1"/>
  <c r="H92" i="1"/>
  <c r="G92" i="1"/>
  <c r="J92" i="1" s="1"/>
  <c r="H91" i="1"/>
  <c r="G91" i="1"/>
  <c r="J91" i="1" s="1"/>
  <c r="H90" i="1"/>
  <c r="G90" i="1"/>
  <c r="J90" i="1" s="1"/>
  <c r="H89" i="1"/>
  <c r="G89" i="1"/>
  <c r="J89" i="1" s="1"/>
  <c r="H88" i="1"/>
  <c r="G88" i="1"/>
  <c r="J88" i="1" s="1"/>
  <c r="H87" i="1"/>
  <c r="G87" i="1"/>
  <c r="J87" i="1" s="1"/>
  <c r="H86" i="1"/>
  <c r="G86" i="1"/>
  <c r="J86" i="1" s="1"/>
  <c r="G85" i="1"/>
  <c r="J85" i="1" s="1"/>
  <c r="H85" i="1"/>
  <c r="H84" i="1"/>
  <c r="G84" i="1"/>
  <c r="J84" i="1" s="1"/>
  <c r="G83" i="1"/>
  <c r="J83" i="1" s="1"/>
  <c r="H83" i="1"/>
  <c r="G81" i="1"/>
  <c r="J81" i="1" s="1"/>
  <c r="H81" i="1"/>
  <c r="G79" i="1"/>
  <c r="J79" i="1" s="1"/>
  <c r="H79" i="1"/>
  <c r="G75" i="1"/>
  <c r="J75" i="1" s="1"/>
  <c r="H75" i="1"/>
  <c r="H73" i="1"/>
  <c r="G73" i="1"/>
  <c r="J73" i="1" s="1"/>
  <c r="H71" i="1"/>
  <c r="G71" i="1"/>
  <c r="J71" i="1" s="1"/>
</calcChain>
</file>

<file path=xl/sharedStrings.xml><?xml version="1.0" encoding="utf-8"?>
<sst xmlns="http://schemas.openxmlformats.org/spreadsheetml/2006/main" count="3675" uniqueCount="510">
  <si>
    <t>Policy response review: 143 unique responses; 37 exact repeats linked</t>
  </si>
  <si>
    <t>Enter scores only in yellow cells. Gray repeated rows copy the score of the identical response for the same scenario and system.</t>
  </si>
  <si>
    <t>Response ID</t>
  </si>
  <si>
    <t>Run</t>
  </si>
  <si>
    <t>Scenario</t>
  </si>
  <si>
    <t>System</t>
  </si>
  <si>
    <t>Actual response</t>
  </si>
  <si>
    <t>Criteria</t>
  </si>
  <si>
    <t>Items scored</t>
  </si>
  <si>
    <t>Items satisfied</t>
  </si>
  <si>
    <t>Contradiction / invention (0/1)</t>
  </si>
  <si>
    <t>Response result</t>
  </si>
  <si>
    <t>Reviewer notes</t>
  </si>
  <si>
    <t>P001</t>
  </si>
  <si>
    <t>run_1</t>
  </si>
  <si>
    <t>POLICY-001</t>
  </si>
  <si>
    <t>multi_agent</t>
  </si>
  <si>
    <t>ตามนโยบายการคืนสินค้าของทางร้าน ยังไม่ได้ระบุระยะเวลาการได้รับเงินคืนหลังส่งสินค้าคืนไว้ชัดเจนค่ะ กรุณาสอบถามรายละเอียดเพิ่มเติมได้ทางแชทหรืออีเมล support@siamcart.demo ค่ะ</t>
  </si>
  <si>
    <t>P002</t>
  </si>
  <si>
    <t>POLICY-002</t>
  </si>
  <si>
    <t>กรณีสินค้ามีตำหนิ ยังไม่สามารถยืนยันได้ว่าจะได้รับเงินคืนรวมค่าส่งหรือไม่นะคะ รบกวนขอข้อมูลเพิ่มเติม เช่น วันที่ได้รับสินค้า และรูปถ่ายตำหนิ เพื่อให้ทีมงานตรวจสอบให้ได้ไหมคะ</t>
  </si>
  <si>
    <t>P003</t>
  </si>
  <si>
    <t>POLICY-003</t>
  </si>
  <si>
    <t>ตามนโยบายการคืนสินค้า คุณสามารถขอคืนสินค้าได้ภายใน 14 วันนับจากวันที่ได้รับ โดยสินค้าต้องอยู่ในสภาพเดิม ไม่มีการใช้งาน และมีบรรจุภัณฑ์ครบถ้วนค่ะ นโยบายไม่ได้ระบุค่าธรรมเนียมเพิ่มเติมในการคืน แต่หากสินค้าอยู่ในหมวดที่ไม่สามารถคืนได้ เช่น ชุดชั้นใน เครื่องสำอางที่เปิดใช้แล้ว หรือสินค้าดิจิทัลที่เปิดใช้งานแล้ว จะไม่สามารถคืนได้นะคะ หากมีข้อสงสัยเพิ่มเติม แจ้งรายละเอียดคำสั่งซื้อได้เลยค่ะ</t>
  </si>
  <si>
    <t>P004</t>
  </si>
  <si>
    <t>POLICY-004</t>
  </si>
  <si>
    <t>จากข้อมูลที่มี ยังไม่พบรายการสินค้าที่ถูกแยกออกจากการขอคืนเงินโดยตรงค่ะ หากลูกค้าต้องการทราบรายละเอียดเพิ่มเติม กรุณาระบุประเภทสินค้าหรือสถานการณ์ให้ชัดเจน เพื่อที่ทางเราจะได้ตรวจสอบให้อีกครั้งนะคะ</t>
  </si>
  <si>
    <t>P005</t>
  </si>
  <si>
    <t>POLICY-005</t>
  </si>
  <si>
    <t>เมื่อดำเนินการคืนเงินเสร็จสิ้น ทางร้านจะแจ้งให้ลูกค้าทราบทางอีเมลที่ลงทะเบียนไว้ค่ะ และสถานะการคืนเงินในระบบจะเปลี่ยนเป็น "Refunded" ด้วยนะคะ โดยเงินจะโอนกลับไปยังบัญชีธนาคารหรือช่องทางการชำระเงินเดิมภายใน 5-7 วันทำการหลังตรวจสอบสินค้าคืนเรียบร้อยค่ะ</t>
  </si>
  <si>
    <t>P006</t>
  </si>
  <si>
    <t>POLICY-006</t>
  </si>
  <si>
    <t>นโยบายการคืนเงินของร้านค่ะ หากสินค้ามีตำหนิหรือไม่ตรงตามที่สั่งซื้อ ลูกค้าสามารถขอคืนเงินเต็มจำนวนรวมค่าจัดส่งได้ โดยต้องแจ้งภายใน 7 วันหลังจากได้รับสินค้าค่ะ หลังจากได้รับสินค้าคืนและตรวจสอบเรียบร้อย ทางร้านจะดำเนินการคืนเงินภายใน 5-7 วันทำการไปยังช่องทางการชำระเงินเดิม และจะแจ้งผลให้ทราบทางอีเมลที่ลงทะเบียนไว้นะคะ</t>
  </si>
  <si>
    <t>P007</t>
  </si>
  <si>
    <t>POLICY-007</t>
  </si>
  <si>
    <t>กรุณาระบุหมายเลขคำสั่งซื้อของคุณด้วยค่ะ</t>
  </si>
  <si>
    <t>P008</t>
  </si>
  <si>
    <t>POLICY-008</t>
  </si>
  <si>
    <t>ตามนโยบายการคืนสินค้า เครื่องสำอางที่เปิดใช้งานแล้วและชุดชั้นในไม่สามารถคืนได้ค่ะ โดยสินค้าประเภทนี้จัดอยู่ในข้อ 2 สินค้าที่ไม่สามารถคืนได้ สำหรับเสื้อผ้าและรองเท้าสามารถคืนได้ภายใน 14 วัน โดยต้องไม่ถูกใช้หรือซัก และมีป้ายติดครบถ้วนค่ะ หากมีข้อสงสัยเพิ่มเติมสามารถสอบถามได้นะคะ</t>
  </si>
  <si>
    <t>P009</t>
  </si>
  <si>
    <t>POLICY-009</t>
  </si>
  <si>
    <t>P010</t>
  </si>
  <si>
    <t>POLICY-010</t>
  </si>
  <si>
    <t>ท่านสามารถเริ่มการคืนสินค้าได้โดยแจ้งผ่านแชทหรืออีเมล support@siamcart.demo พร้อมระบุรายละเอียดคำสั่งซื้อและเหตุผลในการคืนสินค้าค่ะ โดยสินค้าต้องอยู่ในสภาพเดิม ไม่มีการใช้งาน และอยู่ภายใน 14 วันนับตั้งแต่วันที่ได้รับสินค้านะคะ ทั้งนี้สินค้าบางประเภทไม่สามารถคืนได้ เช่น ชุดชั้นใน เครื่องสำอางที่เปิดใช้งานแล้ว หรือสินค้าดิจิทัลที่เปิดใช้งานแล้วค่ะ ทางร้านจะตอบกลับภายใน 24 ชั่วโมงทำการค่ะ</t>
  </si>
  <si>
    <t>P011</t>
  </si>
  <si>
    <t>POLICY-011</t>
  </si>
  <si>
    <t>P012</t>
  </si>
  <si>
    <t>POLICY-012</t>
  </si>
  <si>
    <t>ตามนโยบายของร้านค่ะ ลูกค้าสามารถขอคืนสินค้าได้ภายใน 14 วันนับจากวันที่ได้รับสินค้า โดยสินค้าต้องอยู่ในสภาพเดิม ไม่มีการใช้งาน และมีบรรจุภัณฑ์เดิมครบถ้วน ค่ะ ทั้งนี้ สินค้าบางประเภท เช่น ชุดชั้นใน เครื่องสำอางที่เปิดใช้แล้ว อาหารและเครื่องดื่มที่เปิดบรรจุภัณฑ์ และซอฟต์แวร์หรือคีย์ดิจิทัลที่เปิดใช้งานแล้ว ไม่สามารถคืนได้นะคะ
หากต้องการขอคืน สามารถแจ้งผ่านแชทหรืออีเมล support@siamcart.demo พร้อมระบุรายละเอียดคำสั่งซื้อและเหตุผลได้เลยค่ะ ทางร้านจะตอบกลับภายใน 24 ชั่วโมงทำการนะคะ</t>
  </si>
  <si>
    <t>P013</t>
  </si>
  <si>
    <t>POLICY-013</t>
  </si>
  <si>
    <t>ได้ค่ะ ลูกค้าสามารถขอเปลี่ยนสินค้าเป็นอย่างอื่นได้ภายใน 14 วันนับตั้งแต่วันที่ได้รับสินค้า โดยสินค้าต้องอยู่ในสภาพดี ไม่มีการใช้งาน และไม่มีร่องรอยความเสียหายค่ะ หากเป็นกรณีเปลี่ยนไซส์หรือสี ต้องมีป้ายและบรรจุภัณฑ์เดิมครบถ้วนนะคะ</t>
  </si>
  <si>
    <t>P014</t>
  </si>
  <si>
    <t>POLICY-014</t>
  </si>
  <si>
    <t>สินค้าที่มีตำหนิจากการผลิต ทางร้านยินดีเปลี่ยนให้ฟรีโดยไม่มีค่าใช้จ่ายเพิ่มเติมค่ะ เพียงแต่ลูกค้าต้องแจ้งภายใน 7 วันหลังจากได้รับสินค้านะคะ หากเกินกำหนดอาจไม่สามารถดำเนินการเปลี่ยนให้ได้ค่ะ</t>
  </si>
  <si>
    <t>P015</t>
  </si>
  <si>
    <t>POLICY-015</t>
  </si>
  <si>
    <t>P016</t>
  </si>
  <si>
    <t>POLICY-016</t>
  </si>
  <si>
    <t>สำหรับการเปลี่ยนสินค้า ค่าจัดส่งจะขึ้นอยู่กับเหตุผลค่ะ หากสินค้ามีตำหนิหรือไม่ถูกต้อง ทางร้านออกค่าจัดส่งให้ทั้งสองฝั่ง แต่หากเป็นการเปลี่ยนใจหรือเปลี่ยนไซส์ ลูกค้าออกค่าจัดส่งในการส่งสินค้าคืน และทางร้านออกค่าจัดส่งในการส่งสินค้าใหม่ให้ค่ะ</t>
  </si>
  <si>
    <t>P017</t>
  </si>
  <si>
    <t>POLICY-017</t>
  </si>
  <si>
    <t>ยินดีช่วยตรวจสอบคำขอคืนสินค้าหรือยกเลิกคำสั่งซื้อค่ะ กรุณาระบุหมายเลขคำสั่งซื้อ ค่ะ</t>
  </si>
  <si>
    <t>P018</t>
  </si>
  <si>
    <t>POLICY-018</t>
  </si>
  <si>
    <t>ได้ค่ะ การเปลี่ยนสินค้าขึ้นอยู่กับสต็อกสินค้าในขณะนั้น หากสินค้าหมด ทางร้านจะเสนอทางเลือกอื่นหรือคืนเงินให้ตามความเหมาะสมค่ะ กรณีเปลี่ยนใจหรือเปลี่ยนไซส์ ลูกค้าออกค่าจัดส่งในการส่งสินค้าคืน และทางร้านออกค่าจัดส่งในการส่งสินค้าใหม่ค่ะ แต่หากสินค้าเป็นประเภทที่ไม่สามารถคืนได้ เช่น ชุดชั้นใน เครื่องสำอางที่เปิดใช้แล้ว จะไม่สามารถเปลี่ยนได้นะคะ รบกวนแจ้งหมายเลขคำสั่งซื้อและเหตุผลที่ต้องการเปลี่ยนด้วยค่ะ</t>
  </si>
  <si>
    <t>P019</t>
  </si>
  <si>
    <t>POLICY-019</t>
  </si>
  <si>
    <t>P020</t>
  </si>
  <si>
    <t>POLICY-020</t>
  </si>
  <si>
    <t>P021</t>
  </si>
  <si>
    <t>POLICY-021</t>
  </si>
  <si>
    <t>P022</t>
  </si>
  <si>
    <t>POLICY-022</t>
  </si>
  <si>
    <t>P023</t>
  </si>
  <si>
    <t>POLICY-023</t>
  </si>
  <si>
    <t>P024</t>
  </si>
  <si>
    <t>POLICY-024</t>
  </si>
  <si>
    <t>P025</t>
  </si>
  <si>
    <t>POLICY-025</t>
  </si>
  <si>
    <t>P026</t>
  </si>
  <si>
    <t>POLICY-026</t>
  </si>
  <si>
    <t>P027</t>
  </si>
  <si>
    <t>POLICY-027</t>
  </si>
  <si>
    <t>P028</t>
  </si>
  <si>
    <t>POLICY-028</t>
  </si>
  <si>
    <t>P029</t>
  </si>
  <si>
    <t>POLICY-029</t>
  </si>
  <si>
    <t>P030</t>
  </si>
  <si>
    <t>POLICY-030</t>
  </si>
  <si>
    <t>P031</t>
  </si>
  <si>
    <t>monolithic</t>
  </si>
  <si>
    <t>Blank answer: verify criteria and mark 0/1; this is only a triage cue.</t>
  </si>
  <si>
    <t>P032</t>
  </si>
  <si>
    <t>ตามนโยบายการคืนเงิน หากสินค้ามีตำหนิหรือไม่ตรงตามที่สั่งซื้อ ลูกค้าสามารถขอคืนเงินเต็มจำนวนรวมค่าจัดส่งได้ โดยต้องแจ้งภายใน 7 วันหลังจากได้รับสินค้าค่ะ กรุณาแจ้งหมายเลขคำสั่งซื้อ (Order ID) เพื่อให้ตรวจสอบข้อมูลเพิ่มเติมได้นะคะ</t>
  </si>
  <si>
    <t>P033</t>
  </si>
  <si>
    <t>กรณีเปลี่ยนใจคืนสินค้า หากสินค้าอยู่ในสภาพสมบูรณ์ ไม่มีการใช้งาน และมีบรรจุภัณฑ์ครบถ้วน ลูกค้าจะได้รับเงินคืนเฉพาะราคาสินค้าเท่านั้น ไม่รวมค่าจัดส่ง และทางร้านจะหักค่าธรรมเนียมการคืนสินค้าจำนวน 50 บาทครับ</t>
  </si>
  <si>
    <t>P034</t>
  </si>
  <si>
    <t>According to our refund policy, refunds will not be issued for: items that are damaged or used by the customer; items returned after 14 days from receipt; and items that are non-returnable per the return policy.</t>
  </si>
  <si>
    <t>P035</t>
  </si>
  <si>
    <t>ตามนโยบายการคืนเงินของร้าน เมื่อดำเนินการคืนเงินเสร็จเรียบร้อยแล้ว ทางร้านจะแจ้งให้ลูกค้าทราบทางอีเมลที่ลงทะเบียนไว้ และสถานะการคืนเงินในระบบจะเปลี่ยนเป็น "Refunded" ครับ</t>
  </si>
  <si>
    <t>P036</t>
  </si>
  <si>
    <t>สวัสดีค่ะ นโยบายการคืนเงินของทางร้านโดยสรุปมีดังนี้:
1. หลังได้รับสินค้าคืนและตรวจสอบสภาพเรียบร้อยแล้ว ทางร้านจะดำเนินการคืนเงินภายใน 5-7 วันทำการ โดยโอนกลับไปยังช่องทางการชำระเงินเดิม
2. หากสินค้ามีตำหนิหรือไม่ตรงตามที่สั่งซื้อ ลูกค้าสามารถขอคืนเงินเต็มจำนวนรวมค่าจัดส่งได้ โดยต้องแจ้งภายใน 7 วันหลังจากได้รับสินค้า
3. กรณีเปลี่ยนใจและสินค้าอยู่ในสภาพสมบูรณ์ จะได้รับเงินคืนเฉพาะราคาสินค้า ไม่รวมค่าจัดส่ง และมีการหักค่าธรรมเนียมการคืนสินค้า 50 บาท
4. ไม่มีการคืนเงินสำหรับสินค้าที่ใช้แล้วหรือเสียหายจากการใช้งานของลูกค้า, คืนเกิน 14 วันนับจากวันที่ได้รับ หรือสินค้าที่ไม่สามารถคืนได้ตามนโยบาย
5. เมื่อดำเนินการคืนเงินเสร็จสิ้น ทางร้านจะแจ้งให้ทราบทางอีเมล และสถานะในระบบจะเปลี่ยนเป็น "Refunded"
หากมีคำถามเพิ่มเติมสามารถสอบถามได้เลยนะคะ</t>
  </si>
  <si>
    <t>P037</t>
  </si>
  <si>
    <t>ตามนโยบายการคืนสินค้า ลูกค้าสามารถขอคืนสินค้าได้ภายใน 14 วันนับตั้งแต่วันที่ได้รับสินค้า โดยสินค้าต้องอยู่ในสภาพเดิม ไม่มีการใช้งาน และมีบรรจุภัณฑ์และอุปกรณ์ครบถ้วนค่ะ สำหรับสินค้าอิเล็กทรอนิกส์สามารถคืนได้ภายใน 7 วันนับจากวันที่ได้รับ และต้องไม่มีร่องรอยความเสียหายจากการใช้งาน พร้อมอุปกรณ์และสายชาร์จครบชุดค่ะ ส่วนเสื้อผ้าและรองเท้าต้องไม่ถูกใช้หรือซักแล้ว และมีป้ายติดครบถ้วนค่ะ ทั้งนี้ สินค้าบางประเภทไม่สามารถคืนได้ เช่น ชุดชั้นใน เครื่องสำอางที่เปิดใช้แล้ว อาหารและเครื่องดื่มที่เปิดบรรจุภัณฑ์ และซอฟต์แวร์หรือคีย์ดิจิทัลที่เปิดใช้งานแล้วนะคะ</t>
  </si>
  <si>
    <t>P038</t>
  </si>
  <si>
    <t>ตามนโยบายการคืนสินค้าของร้านค่ะ สินค้าประเภทเครื่องสำอางและผลิตภัณฑ์ดูแลส่วนบุคคลที่เปิดใช้งานแล้ว รวมถึงชุดชั้นใน ไม่สามารถคืนได้ค่ะ</t>
  </si>
  <si>
    <t>P039</t>
  </si>
  <si>
    <t>ตามนโยบายการคืนสินค้าค่ะ เสื้อผ้าและรองเท้าสามารถคืนได้ภายใน 14 วัน โดยสินค้าต้องไม่ถูกใช้หรือซักแล้ว และต้องมีป้ายติดอยู่ครบถ้วนค่ะ หากลองแล้วยังไม่ได้ใช้งาน ไม่ซัก และป้ายยังติดครบก็สามารถคืนได้ค่ะ อย่างไรก็ตาม ชุดชั้นในและเครื่องสำอางไม่สามารถคืนได้ตามข้อ 2 ของนโยบายการคืนสินค้าค่ะ</t>
  </si>
  <si>
    <t>P040</t>
  </si>
  <si>
    <t>You can start a return by contacting us via chat or email at support@siamcart.demo. Please provide your Order ID and the reason for the return, and our team will respond within 24 business hours. Please note that returns are subject to our return policy (e.g., items must generally be returned within 14 days in original condition).</t>
  </si>
  <si>
    <t>P041</t>
  </si>
  <si>
    <t>สำหรับสินค้าอิเล็กทรอนิกส์ สามารถคืนได้ภายใน 7 วันนับตั้งแต่วันที่ได้รับสินค้าค่ะ โดยสินค้าต้องไม่มีความเสียหายจากการใช้งาน และต้องมีอุปกรณ์ สายชาร์จ และคู่มือครบชุดตามเงื่อนไขในนโยบายการคืนสินค้าค่ะ</t>
  </si>
  <si>
    <t>P042</t>
  </si>
  <si>
    <t>ครับ เงื่อนไขการคืนสินค้าของร้านมีดังนี้:
1. ลูกค้าสามารถขอคืนสินค้าได้ภายใน 14 วัน นับตั้งแต่วันที่ได้รับสินค้า โดยสินค้าต้องอยู่ในสภาพเดิม ไม่มีการใช้งาน และมีบรรจุภัณฑ์เดิมครบถ้วน
2. สินค้าต่อไปนี้ไม่สามารถคืนได้: ชุดชั้นในและเครื่องแต่งกายสำหรับว่ายน้ำ, เครื่องสำอางและผลิตภัณฑ์ดูแลส่วนบุคคลที่เปิดใช้งานแล้ว, อาหารและเครื่องดื่มที่เปิดบรรจุภัณฑ์แล้ว, และซอฟต์แวร์หรือคีย์ดิจิทัลที่เปิดใช้งานแล้ว
3. เสื้อผ้าและรองเท้าสามารถคืนได้ภายใน 14 วัน โดยต้องไม่ถูกใช้หรือซักแล้ว และมีป้ายติดครบถ้วน
4. สินค้าอิเล็กทรอนิกส์สามารถคืนได้ภายใน 7 วัน นับตั้งแต่วันที่ได้รับสินค้า โดยต้องไม่มีความเสียหายจากการใช้งาน และมีอุปกรณ์ครบชุด
หากต้องการแจ้งขอคืนสินค้า สามารถติดต่อผ่านแชทหรืออีเมล support@siamcart.demo โดยระบุหมายเลขคำสั่งซื้อและเหตุผลในการคืนสินค้าได้เลยครับ</t>
  </si>
  <si>
    <t>P043</t>
  </si>
  <si>
    <t>ได้ค่ะ ลูกค้าสามารถขอเปลี่ยนสินค้าเป็นสินค้าชนิดอื่นหรือขนาดอื่นได้ภายใน 14 วันนับตั้งแต่วันที่ได้รับสินค้า โดยสินค้าต้องอยู่ในสภาพดี ไม่มีการใช้งาน และไม่มีความเสียหาย ค่ะ</t>
  </si>
  <si>
    <t>P044</t>
  </si>
  <si>
    <t>สามารถเปลี่ยนสินค้าให้ฟรีได้ครับ หากสินค้ามีตำหนิจากการผลิต เสียหายจากการขนส่ง หรือไม่ตรงตามที่สั่งซื้อ โดยต้องแจ้งภายใน 7 วันหลังจากได้รับสินค้า และทางร้านจะเปลี่ยนสินค้าให้ทันทีโดยไม่มีค่าใช้จ่ายเพิ่มเติมครับ</t>
  </si>
  <si>
    <t>P045</t>
  </si>
  <si>
    <t>P046</t>
  </si>
  <si>
    <t>ตามนโยบายการเปลี่ยนสินค้า ค่าจัดส่งขึ้นอยู่กับกรณีดังนี้ครับ:
- หากสินค้ามีตำหนิ เสียหายจากการขนส่ง หรือไม่ตรงตามที่สั่งซื้อ ทางร้านออกค่าจัดส่งให้ทั้งสองฝั่ง
- หากเป็นการเปลี่ยนใจหรือเปลี่ยนไซส์/สี ลูกค้าออกค่าจัดส่งในการส่งสินค้าคืน ส่วนทางร้านออกค่าจัดส่งในการส่งสินค้าใหม่ให้ครับ</t>
  </si>
  <si>
    <t>P047</t>
  </si>
  <si>
    <t>Per our Exchange Policy, if the item you want to exchange for is out of stock, the store will offer alternative options or process a refund as appropriate. Exchanges are subject to stock availability.</t>
  </si>
  <si>
    <t>P048</t>
  </si>
  <si>
    <t>P049</t>
  </si>
  <si>
    <t>ค่ะ ทางร้านให้บริการจัดส่งเฉพาะภายในประเทศไทยเท่านั้นค่ะ ไม่ให้บริการจัดส่งระหว่างประเทศนะคะ</t>
  </si>
  <si>
    <t>P050</t>
  </si>
  <si>
    <t>สั่งซื้อตั้งแต่ 500 บาทขึ้นไปจะได้รับส่งฟรีค่ะ แต่หากคำสั่งซื้อต่ำกว่า 500 บาท จะคิดค่าจัดส่งแบบคงที่ 50 บาทค่ะ</t>
  </si>
  <si>
    <t>P051</t>
  </si>
  <si>
    <t>ครับ สำหรับการจัดส่งภายในประเทศไทย:
- กรุงเทพฯ และปริมณฑล: 1-3 วันทำการ
- ต่างจังหวัด: 2-5 วันทำการ
- พื้นที่ห่างไกล (เกาะ ภูเขา): 3-7 วันทำการ
ดังนั้น การจัดส่งไปต่างจังหวัดอาจใช้เวลานานกว่าในพื้นที่กรุงเทพฯ ครับ</t>
  </si>
  <si>
    <t>P052</t>
  </si>
  <si>
    <t>P053</t>
  </si>
  <si>
    <t>If your package is lost in transit, please notify us within 7 days of the expected delivery date. We will investigate with the carrier, and if the package is confirmed lost, we will either reship the item or issue a full refund to you.</t>
  </si>
  <si>
    <t>P054</t>
  </si>
  <si>
    <t>ขออภัยครับ กรุณาแจ้งหมายเลขคำสั่งซื้อ (Order ID) เพื่อให้ตรวจสอบสถานะการจัดส่งได้ครับ</t>
  </si>
  <si>
    <t>P055</t>
  </si>
  <si>
    <t>ทางร้านรับชำระเงินผ่านช่องทางดังนี้ค่ะ: โอนเงินผ่านธนาคาร (Bank Transfer), บัตรเครดิตและบัตรเดบิต (Visa, Mastercard), พร้อมเพย์ (PromptPay) และเก็บเงินปลายทาง (Cash on Delivery) ค่ะ</t>
  </si>
  <si>
    <t>P056</t>
  </si>
  <si>
    <t>P057</t>
  </si>
  <si>
    <t>ค่าธรรมเนียมเก็บเงินปลายทาง (COD) อยู่ที่ 20 บาทต่อคำสั่งซื้อครับ และต้องชำระเป็นเงินสดให้พนักงานขนส่งในวันที่ได้รับสินค้าเท่านั้น</t>
  </si>
  <si>
    <t>P058</t>
  </si>
  <si>
    <t>ตามนโยบายการชำระเงินของร้าน หากการชำระเงินไม่สำเร็จ ระบบจะยกเลิกคำสั่งซื้อโดยอัตโนมัติภายใน 24 ชั่วโมง และคุณสามารถสั่งซื้อใหม่ได้ทุกเมื่อครับ หากเป็นการชำระเงินของคำสั่งซื้อใดโดยเฉพาะ กรุณาแจ้งหมายเลขคำสั่งซื้อเพื่อตรวจสอบให้ละเอียดได้นะครับ</t>
  </si>
  <si>
    <t>P059</t>
  </si>
  <si>
    <t>ใบเสร็จรับเงินจะถูกส่งไปยังอีเมลของลูกค้าหลังจากการชำระเงินเสร็จสมบูรณ์ค่ะ หากต้องการใบกำกับภาษีแบบเต็มรูปแบบ สามารถติดต่อขอได้ที่ support@siamcart.demo ค่ะ</t>
  </si>
  <si>
    <t>P060</t>
  </si>
  <si>
    <t>ทางร้านรับชำระเงินผ่านช่องทางดังนี้ครับ: โอนเงินผ่านธนาคาร (Bank Transfer), บัตรเครดิตและบัตรเดบิต (Visa, Mastercard), พร้อมเพย์ (PromptPay) และเก็บเงินปลายทาง (COD) โดยการเก็บเงินปลายทางมีค่าธรรมเนียมเพิ่มเติม 20 บาทต่อคำสั่งซื้อครับ</t>
  </si>
  <si>
    <t>P061</t>
  </si>
  <si>
    <t>run_2</t>
  </si>
  <si>
    <t>ตามนโยบายของทางร้านยังไม่ได้ระบุระยะเวลาการได้รับเงินคืนหลังส่งสินค้าคืนนะคะ กรุณารอตรวจสอบข้อมูลเพิ่มเติม หรือติดต่อทีมงานผ่านแชทหรืออีเมล support@siamcart.demo เพื่อสอบถามรายละเอียดได้ค่ะ</t>
  </si>
  <si>
    <t>P062</t>
  </si>
  <si>
    <t>กรณีเปลี่ยนใจ ทางร้านคืนเงินเฉพาะราคาสินค้า ไม่รวมค่าจัดส่ง และหักค่าธรรมเนียมการคืนสินค้า</t>
  </si>
  <si>
    <t>P063</t>
  </si>
  <si>
    <t>ตามนโยบายคืนสินค้า ลูกค้าส</t>
  </si>
  <si>
    <t>P064</t>
  </si>
  <si>
    <t>จากนโยบายการคืนเงินของทางร้านที่มีให้ทราบในขณะนี้ ยังไม่มีการระบุรายการสินค้าที่ยกเว้นการคืนเงินโดยเฉพาะนะคะ หากลูกค้าต้องการทราบเกี่ยวกับสินค้าชนิดใด กรุณาแจ้งชื่อสินค้าหรือหมวดหมู่ให้ทางเราทราบด้วยนะคะ ทางเราจะได้ตรวจสอบข้อมูลให้ละเอียดยิ่งขึ้นค่ะ</t>
  </si>
  <si>
    <t>P065</t>
  </si>
  <si>
    <t>เมื่อดำเนินการคืนเงินเสร็จสิ้น ทางร้านจะแจ้งให้ทราบทางอีเมลที่ลงทะเบียนไว้ค่ะ และสถานะการคืนเงินในระบบจะเปลี่ยนเป็น "Refunded" โดยจะดำเนินการภายใน 5-7 วันทำการหลังจากได้รับสินค้าคืนและตรวจสอบเรียบร้อยแล้วนะคะ</t>
  </si>
  <si>
    <t>P066</t>
  </si>
  <si>
    <t>นโยบายการคืนเงินของร้านค่ะ หากสินค้ามีตำหนิหรือไม่ตรงตามที่สั่งซื้อ ลูกค้าสามารถขอคืนเงินเต็มจำนวนรวมค่าจัดส่งได้ โดยต้องแจ้งภายใน 7 วันหลังจากได้รับสินค้าค่ะ หลังจากได้รับสินค้าคืนและตรวจสอบแล้ว ร้านจะดำเนินการคืนเงินภายใน 5-7 วันทำการ ไปยังช่องทางการชำระเงินเดิม และจะแจ้งผลทางอีเมลที่ลงทะเบียนไว้ รวมถึงสถานะจะเปลี่ยนเป็น "Refunded" ค่ะ</t>
  </si>
  <si>
    <t>P067</t>
  </si>
  <si>
    <t>Exact repeat of P007; verify only the master row.</t>
  </si>
  <si>
    <t>P068</t>
  </si>
  <si>
    <t>เครื่องสำอางที่ใช้แล้วไม่สามารถคืนได้ค่ะ และชุดชั้นในก็ไม่สามารถคืนได้เช่นกัน ตามนโยบายการคืนสินค้าข้อ 2 ค่ะ หากยังไม่ได้เปิดใช้งาน เครื่องสำอางก็ยังไม่สามารถคืนได้ในหมวดนี้ด้วยนะคะ</t>
  </si>
  <si>
    <t>P069</t>
  </si>
  <si>
    <t>Exact repeat of P009; verify only the master row.</t>
  </si>
  <si>
    <t>P070</t>
  </si>
  <si>
    <t>สามารถเริ่มขอคืนสินค้าได้โดยแจ้งผ่านแชทหรืออีเมล support@siamcart.demo พร้อมระบุรายละเอียดคำสั่งซื้อและเหตุผลในการคืนสินค้าค่ะ โดยสินค้าต้องอยู่ในสภาพเดิม ไม่มีการใช้งาน และมีบรรจุภัณฑ์เดิมครบถ้วนภายใน 14 วันนับตั้งแต่วันที่ได้รับสินค้านะคะ ทางร้านจะตอบกลับภายใน 24 ชั่วโมงทำการค่ะ ทั้งนี้สินค้าบางประเภท เช่น ชุดชั้นใน เครื่องสำอางที่เปิดใช้แล้ว หรือคีย์ดิจิทัลที่เปิดใช้งานแล้ว จะไม่สามารถคืนได้ค่ะ</t>
  </si>
  <si>
    <t>P071</t>
  </si>
  <si>
    <t>Exact repeat of P011; verify only the master row.</t>
  </si>
  <si>
    <t>P072</t>
  </si>
  <si>
    <t>เรียนลูกค้าค่ะ เงื่อนไขการคืนสินค้าของร้านคือ สินค้าสามารถขอคืนได้ภายใน 14 วันนับตั้งแต่วันที่ได้รับสินค้า โดยต้องอยู่ในสภาพเดิม ไม่มีการใช้งาน และมีบรรจุภัณฑ์เดิมครบถ้วนค่ะ อย่างไรก็ตาม สินค้าบางประเภทไม่สามารถคืนได้ เช่น ชุดชั้นในและชุดว่ายน้ำ เครื่องสำอางที่เปิดใช้แล้ว อาหารและเครื่องดื่มที่เปิดบรรจุภัณฑ์แล้ว และซอฟต์แวร์หรือคีย์ดิจิทัลที่เปิดใช้งานแล้วค่ะ หากต้องการคืนสินค้า สามารถแจ้งผ่านแชทหรืออีเมล support@siamcart.demo โดยระบุรายละเอียดคำสั่งซื้อและเหตุผลได้เลยนะคะ ทางร้านจะตอบกลับภายใน 24 ชั่วโมงทำการค่ะ</t>
  </si>
  <si>
    <t>P073</t>
  </si>
  <si>
    <t>ได้ค่ะ ลูกค้าสามารถขอเปลี่ยนสินค้าเป็นสินค้าชนิดอื่นได้ภายใน 14 วัน นับตั้งแต่วันที่ได้รับสินค้า โดยสินค้าต้องอยู่ในสภาพดี ไม่มีการใช้งาน และไม่มีความเสียหายค่ะ หากเป็นสินค้าที่มีตำหนิจากการผลิตหรือเสียหายจากการขนส่ง ต้องแจ้งภายใน 7 วันนะคะ</t>
  </si>
  <si>
    <t>P074</t>
  </si>
  <si>
    <t>สินค้ามีตำหนิจากการผลิต ทางร้านยินดีเปลี่ยนสินค้าให้ทันทีโดยไม่มีค่าใช้จ่ายเพิ่มเติมค่ะ โดยต้องแจ้งภายใน 7 วันหลังจากได้รับสินค้านะคะ 😊</t>
  </si>
  <si>
    <t>P075</t>
  </si>
  <si>
    <t>Exact repeat of P015; verify only the master row.</t>
  </si>
  <si>
    <t>P076</t>
  </si>
  <si>
    <t>ตามนโยบายการเปลี่ยนสินค้าของร้านค่ะ ค่าจัดส่งจะขึ้นอยู่กับกรณีค่ะ
- กรณีสินค้ามีตำหนิหรือไม่ถูกต้อง: ทางร้านออกค่าจัดส่งให้ทั้งสองฝั่งค่ะ
- กรณีเปลี่ยนใจหรือเปลี่ยนไซส์: ลูกค้าออกค่าจัดส่งในการส่งสินค้าคืน และทางร้านออกค่าจัดส่งในการส่งสินค้าใหม่ค่ะ
ทั้งนี้ การเปลี่ยนสินค้าขึ้นอยู่กับสต็อกสินค้าในขณะนั้น หากสินค้าหมด ทางร้านจะเสนอทางเลือกอื่นหรือคืนเงินให้ตามความเหมาะสมนะคะ</t>
  </si>
  <si>
    <t>P077</t>
  </si>
  <si>
    <t>Exact repeat of P017; verify only the master row.</t>
  </si>
  <si>
    <t>P078</t>
  </si>
  <si>
    <t>ได้ค่ะ การเปลี่ยนสินค้าขึ้นอยู่กับสต็อกสินค้าในขณะนั้น หากสินค้าหมด ทางร้านจะเสนอทางเลือกอื่นหรือคืนเงินให้ตามความเหมาะสมค่ะ สำหรับค่าจัดส่ง หากสินค้ามีตำหนิหรือไม่ถูกต้อง ทางร้านออกค่าจัดส่งให้ทั้งสองฝั่ง แต่ถ้าเปลี่ยนใจหรือเปลี่ยนไซส์ ลูกค้าออกค่าส่งสินค้าคืนและทางร้านออกค่าส่งสินค้าใหม่นะคะ รบกวนแจ้งเหตุผลที่ต้องการเปลี่ยน พร้อมชื่อสินค้าหรือหมายเลขคำสั่งซื้อให้ทางร้านด้วยนะคะ</t>
  </si>
  <si>
    <t>P079</t>
  </si>
  <si>
    <t>Exact repeat of P019; verify only the master row.</t>
  </si>
  <si>
    <t>P080</t>
  </si>
  <si>
    <t>Exact repeat of P020; verify only the master row.</t>
  </si>
  <si>
    <t>P081</t>
  </si>
  <si>
    <t>Exact repeat of P021; verify only the master row.</t>
  </si>
  <si>
    <t>P082</t>
  </si>
  <si>
    <t>Exact repeat of P022; verify only the master row.</t>
  </si>
  <si>
    <t>P083</t>
  </si>
  <si>
    <t>Exact repeat of P023; verify only the master row.</t>
  </si>
  <si>
    <t>P084</t>
  </si>
  <si>
    <t>Exact repeat of P024; verify only the master row.</t>
  </si>
  <si>
    <t>P085</t>
  </si>
  <si>
    <t>Exact repeat of P025; verify only the master row.</t>
  </si>
  <si>
    <t>P086</t>
  </si>
  <si>
    <t>Exact repeat of P026; verify only the master row.</t>
  </si>
  <si>
    <t>P087</t>
  </si>
  <si>
    <t>Exact repeat of P027; verify only the master row.</t>
  </si>
  <si>
    <t>P088</t>
  </si>
  <si>
    <t>Exact repeat of P028; verify only the master row.</t>
  </si>
  <si>
    <t>P089</t>
  </si>
  <si>
    <t>Exact repeat of P029; verify only the master row.</t>
  </si>
  <si>
    <t>P090</t>
  </si>
  <si>
    <t>Exact repeat of P030; verify only the master row.</t>
  </si>
  <si>
    <t>P091</t>
  </si>
  <si>
    <t>หลังจากร้านได้รับสินค้าคืนและตรวจสอบสภาพเรียบร้อยแล้ว ทางร้านจะดำเนินการคืนเงินภายใน 5-7 วันทำการ โดยเงินจะโอนกลับไปยังบัญชีธนาคารหรือช่องทางการชำระเงินเดิมของลูกค้าค่ะ</t>
  </si>
  <si>
    <t>P092</t>
  </si>
  <si>
    <t>ตามนโยบายของร้าน หากสินค้ามีตำหนิหรือไม่ตรงตามที่สั่งซื้อ ลูกค้าสามารถขอคืนเงินเต็มจำนวนรวมถึงค่าจัดส่งได้ โดยต้องแจ้งภายใน 7 วันหลังจากได้รับสินค้าค่ะ แต่กรุณาแจ้งหมายเลขคำสั่งซื้อ (Order ID) เพื่อให้ตรวจสอบข้อมูลให้ด้วยนะคะ</t>
  </si>
  <si>
    <t>P093</t>
  </si>
  <si>
    <t>กรณีเปลี่ยนใจคืนสินค้า จะไม่ได้รับเงินคืนเต็มจำนวนครับ ตามนโยบายการคืนเงิน ลูกค้าจะได้รับเงินคืนเฉพาะราคาสินค้าเท่านั้น ไม่รวมค่าจัดส่ง และทางร้านจะหักค่าธรรมเนียมการคืนสินค้าจำนวน 50 บาทครับ หากสินค้าอยู่ในสภาพสมบูรณ์ ไม่มีการใช้งาน และอยู่ในระยะเวลาที่กำหนด</t>
  </si>
  <si>
    <t>P094</t>
  </si>
  <si>
    <t>According to our refund policy, refunds are not issued for: (1) items damaged or used by the customer, (2) items returned after 14 days from receipt, and (3) items that are non-returnable per our return policy, such as opened cosmetics and personal care products, opened food and beverage items, activated software or digital keys, and intimate apparel/swimwear.</t>
  </si>
  <si>
    <t>P095</t>
  </si>
  <si>
    <t>เมื่อดำเนินการคืนเงินเสร็จสิ้น ทางร้านจะแจ้งให้ลูกค้าทราบทางอีเมลที่ลงทะเบียนไว้ และสถานะการคืนเงินในระบบจะเปลี่ยนเป็น "Refunded" ครับ</t>
  </si>
  <si>
    <t>P096</t>
  </si>
  <si>
    <t>นโยบายการคืนเงินของร้านมีดังนี้ครับ:
1. หลังจากได้รับสินค้าคืนและตรวจสอบสภาพเรียบร้อยแล้ว ทางร้านจะดำเนินการคืนเงินภายใน 5-7 วันทำการ โดยเงินจะโอนกลับไปยังบัญชีธนาคารหรือช่องทางการชำระเงินเดิมของลูกค้า
2. หากสินค้ามีตำหนิหรือไม่ตรงตามที่สั่งซื้อ ลูกค้าสามารถขอคืนเงินเต็มจำนวน รวมถึงค่าจัดส่ง โดยต้องแจ้งภายใน 7 วันหลังจากได้รับสินค้า
3. กรณีลูกค้าเปลี่ยนใจและสินค้าอยู่ในสภาพสมบูรณ์ ลูกค้าจะได้รับเงินคืนเฉพาะราคาสินค้าเท่านั้น ไม่รวมค่าจัดส่ง โดยทางร้านจะหักค่าธรรมเนียมการคืนสินค้าจำนวน 50 บาท
4. สินค้าที่ใช้แล้วหรือเสียหายจากการใช้งานของลูกค้า สินค้าที่คืนเกิน 14 วันนับจากวันที่ได้รับ หรือสินค้าที่ไม่สามารถคืนได้ตามนโยบาย จะไม่ได้รับเงินคืน
5. เมื่อดำเนินการคืนเงินเสร็จสิ้น ทางร้านจะแจ้งให้ลูกค้าทราบทางอีเมลที่ลงทะเบียนไว้ และสถานะการคืนเงินในระบบจะเปลี่ยนเป็น "Refunded"</t>
  </si>
  <si>
    <t>P097</t>
  </si>
  <si>
    <t>ตามนโยบายการคืนสินค้า สินค้าทั่วไปสามารถคืนได้ภายใน 14 วันนับจากวันที่ได้รับสินค้า โดยสินค้าต้องอยู่ในสภาพเดิม ไม่มีการใช้งาน และมีบรรจุภัณฑ์เดิมครบถ้วนค่ะ ส่วนสินค้าอิเล็กทรอนิกส์สามารถคืนได้ภายใน 7 วันนับจากวันที่ได้รับสินค้า โดยต้องไม่มีความเสียหายจากการใช้งาน และมีอุปกรณ์ สายชาร์จ และคู่มือครบชุดค่ะ</t>
  </si>
  <si>
    <t>P098</t>
  </si>
  <si>
    <t>ตามนโยบายการคืนสินค้า เครื่องสำอางและผลิตภัณฑ์ดูแลส่วนบุคคลที่เปิดใช้งานแล้วไม่สามารถคืนได้ และชุดชั้นในรวมถึงชุดว่ายน้ำก็ไม่สามารถคืนได้เช่นกันค่ะ หากสินค้ายังไม่ได้ใช้งานและอยู่ในสภาพเดิม อาจคืนได้ภายใน 14 วันตามเงื่อนไขของนโยบายค่ะ</t>
  </si>
  <si>
    <t>P099</t>
  </si>
  <si>
    <t>ตามนโยบายการคืนสินค้า เสื้อผ้าและรองเท้าสามารถคืนได้ภายใน 14 วันนับตั้งแต่วันที่ได้รับสินค้า โดยสินค้าต้องไม่ถูกใช้หรือซักแล้ว และต้องมีป้ายติดครบถ้วนค่ะ ดังนั้นหากลองใส่โดยไม่ทำให้สินค้าเสียหาย เปื้อน หรือซัก และยังมีป้ายติดอยู่ ก็สามารถคืนได้ตามเงื่อนไขค่ะ</t>
  </si>
  <si>
    <t>P100</t>
  </si>
  <si>
    <t>สวัสดีค่ะ คุณสามารถเริ่มการคืนสินค้าได้โดยติดต่อผ่านแชทหรืออีเมล support@siamcart.demo พร้อมแจ้งหมายเลขคำสั่งซื้อ (Order ID) และเหตุผลในการคืนสินค้า ทางร้านจะตอบกลับภายใน 24 ชั่วโมงทำการ ทั้งนี้สินค้าต้องอยู่ในสภาพเดิม ไม่มีการใช้งาน และต้องอยู่ในระยะเวลาที่กำหนดตามนโยบายการคืนสินค้าค่ะ</t>
  </si>
  <si>
    <t>P101</t>
  </si>
  <si>
    <t>ตามนโยบายการคืนสินค้าของร้าน สินค้าอิเล็กทรอนิกส์สามารถคืนได้ภายใน 7 วัน นับตั้งแต่วันที่ได้รับสินค้า โดยสินค้าต้องไม่มีความเสียหายจากการใช้งาน และต้องมีอุปกรณ์ สายชาร์จ และคู่มือครบชุดค่ะ</t>
  </si>
  <si>
    <t>P102</t>
  </si>
  <si>
    <t>ครับ ร้านเรามีนโยบายการคืนสินค้าดังนี้ครับ 
1. สินค้าทั่วไปสามารถขอคืนได้ภายใน 14 วันนับจากวันที่ได้รับสินค้า โดยสินค้าต้องอยู่ในสภาพเดิม ไม่มีการใช้งาน และมีบรรจุภัณฑ์เดิมครบถ้วน
2. เสื้อผ้าและรองเท้าสามารถคืนได้ภายใน 14 วัน โดยสินค้าต้องไม่ถูกใช้หรือซัก และต้องมีป้ายติดครบถ้วน
3. สินค้าอิเล็กทรอนิกส์สามารถคืนได้ภายใน 7 วันนับจากวันที่ได้รับสินค้า โดยต้องไม่มีความเสียหายจากการใช้งาน และมีอุปกรณ์/สายชาร์จครบชุด
4. สินค้าที่ไม่สามารถคืนได้ เช่น ชุดชั้นใน ชุดว่ายน้ำ เครื่องสำอางที่เปิดใช้แล้ว อาหาร/เครื่องดื่มที่เปิดแล้ว และซอฟต์แวร์/คีย์ดิจิทัลที่เปิดใช้งานแล้ว
หากต้องการขอคืนสินค้า สามารถแจ้งผ่านแชทหรืออีเมล support@siamcart.demo โดยระบุหมายเลขคำสั่งซื้อและเหตุผลในการคืน ทางร้านจะตอบกลับภายใน 24 ชั่วโมงทำการครับ</t>
  </si>
  <si>
    <t>P103</t>
  </si>
  <si>
    <t>ได้ค่ะ ลูกค้าสามารถขอเปลี่ยนสินค้าเป็นสินค้าชนิดอื่นหรือขนาดอื่นได้ภายใน 14 วันนับตั้งแต่วันที่ได้รับสินค้า โดยสินค้าต้องอยู่ในสภาพดี ไม่มีการใช้งาน และไม่มีความเสียหาย หากสินค้ามีตำหนิหรือไม่ตรงตามที่สั่งซื้อ ต้องแจ้งภายใน 7 วันหลังจากได้รับสินค้าค่ะ</t>
  </si>
  <si>
    <t>P104</t>
  </si>
  <si>
    <t>เรียนลูกค้า หากสินค้ามีตำหนิจากการผลิต ทางร้านยินดีเปลี่ยนสินค้าให้ทันทีโดยไม่มีค่าใช้จ่ายเพิ่มเติม โดยต้องแจ้งภายใน 7 วันหลังจากได้รับสินค้าค่ะ หากต้องการดำเนินการกรุณาแจ้งหมายเลขคำสั่งซื้อ (Order ID) ให้ทางร้านด้วยนะคะ</t>
  </si>
  <si>
    <t>P105</t>
  </si>
  <si>
    <t>ตามนโยบายการเปลี่ยนสินค้า ลูกค้าสามารถขอเปลี่ยนไซส์หรือสีได้ภายใน 14 วันนับตั้งแต่วันที่ได้รับสินค้า โดยสินค้าต้องอยู่ในสภาพดี ไม่มีการใช้งาน และต้องมีป้ายและบรรจุภัณฑ์เดิมครบถ้วน หากสินค้าที่ต้องการเปลี่ยนมีราคาสูงกว่า ลูกค้าต้องชำระส่วนต่าง หากราคาต่ำกว่า ทางร้านจะคืนส่วนต่างให้ครับ</t>
  </si>
  <si>
    <t>P106</t>
  </si>
  <si>
    <t>ตามนโยบายการเปลี่ยนสินค้า ค่าจัดส่งขึ้นอยู่กับเหตุผลในการเปลี่ยนค่ะ:
- กรณีสินค้ามีตำหนิ เสียหายจากการขนส่ง หรือไม่ตรงตามที่สั่งซื้อ: ทางร้านออกค่าจัดส่งให้ทั้งสองฝั่งค่ะ
- กรณีเปลี่ยนใจหรือเปลี่ยนไซส์/สี: ลูกค้าออกค่าจัดส่งในการส่งสินค้าคืน ส่วนทางร้านออกค่าจัดส่งในการส่งสินค้าใหม่ให้ค่ะ</t>
  </si>
  <si>
    <t>P107</t>
  </si>
  <si>
    <t>According to our exchange policy, exchanges are subject to stock availability at the time of the request. If the item you want is out of stock, the store will offer alternative options or process a refund as appropriate.</t>
  </si>
  <si>
    <t>P108</t>
  </si>
  <si>
    <t>ได้ครับ ทางร้านมีนโยบายการเปลี่ยนสินค้าภายใน 14 วันนับจากวันที่ได้รับสินค้า โดยสินค้าต้องอยู่ในสภาพดี ไม่มีการใช้งาน และมีป้าย/บรรจุภัณฑ์เดิมครบถ้วนครับ กรุณาแจ้งหมายเลขคำสั่งซื้อ (Order ID) และรายละเอียดสินค้าที่ต้องการเปลี่ยน เพื่อให้ตรวจสอบสิทธิ์การเปลี่ยนได้ครับ</t>
  </si>
  <si>
    <t>P109</t>
  </si>
  <si>
    <t>เรียนลูกค้าค่ะ ปัจจุบันทางร้านให้บริการจัดส่งเฉพาะภายในประเทศไทยเท่านั้น ไม่ให้บริการจัดส่งระหว่างประเทศค่ะ</t>
  </si>
  <si>
    <t>P110</t>
  </si>
  <si>
    <t>จัดส่งฟรีสำหรับคำสั่งซื้อตั้งแต่ 500 บาทขึ้นไปค่ะ สำหรับคำสั่งซื้อที่ต่ำกว่า 500 บาท จะคิดค่าจัดส่งแบบอัตราคงที่ 50 บาทค่ะ</t>
  </si>
  <si>
    <t>P111</t>
  </si>
  <si>
    <t>สวัสดีครับ ตามนโยบายการจัดส่งของร้าน ระยะเวลาจัดส่งในกรุงเทพฯ และปริมณฑลคือ 1-3 วันทำการ ส่วนต่างจังหวัดใช้เวลา 2-5 วันทำการ และพื้นที่ห่างไกล เช่น เกาะ หรือภูเขา ใช้เวลา 3-7 วันทำการครับ</t>
  </si>
  <si>
    <t>P112</t>
  </si>
  <si>
    <t>ตามนโยบายการจัดส่งของร้าน หากสินค้าจัดส่งล่าช้าเกิน 7 วันทำการนับจากวันที่สั่งซื้อ ลูกค้าสามารถติดต่อร้านเพื่อขอรับค่าชดเชยเป็นคูปองส่วนลด 50 บาท สำหรับการสั่งซื้อครั้งถัดไปได้ครับ โดยต้องแจ้งภายใน 14 วันนับจากวันที่สั่งซื้อ ค่ะ/ครับ</t>
  </si>
  <si>
    <t>P113</t>
  </si>
  <si>
    <t>If your package is lost during shipping, please notify us within 7 days of the expected delivery date. We will then investigate with the carrier, and if the loss is confirmed, we will either reship the item or issue a full refund.</t>
  </si>
  <si>
    <t>P114</t>
  </si>
  <si>
    <t>P115</t>
  </si>
  <si>
    <t>ร้านเรารับชำระเงินผ่านช่องทางดังนี้ค่ะ: โอนเงินผ่านธนาคาร (Bank Transfer), บัตรเครดิตและบัตรเดบิต (Visa, Mastercard), พร้อมเพย์ (PromptPay) และเก็บเงินปลายทาง (Cash on Delivery) ค่ะ</t>
  </si>
  <si>
    <t>P116</t>
  </si>
  <si>
    <t>สำหรับการโอนเงินผ่านธนาคาร การยืนยันคำสั่งซื้ออาจใช้เวลา 1-2 ชั่วโมงทำการค่ะ หากโอนผ่านบัตรเครดิตหรือพร้อมเพย์จะยืนยันทันทีค่ะ</t>
  </si>
  <si>
    <t>P117</t>
  </si>
  <si>
    <t>ค่าธรรมเนียมเก็บเงินปลายทาง (COD) อยู่ที่ 20 บาทต่อคำสั่งซื้อครับ โดยลูกค้าต้องชำระเป็นเงินสดให้พนักงานขนส่งในวันที่ได้รับสินค้าเท่านั้น</t>
  </si>
  <si>
    <t>P118</t>
  </si>
  <si>
    <t>หากการชำระเงินไม่สำเร็จ ระบบจะยกเลิกคำสั่งซื้อโดยอัตโนมัติภายใน 24 ชั่วโมง และลูกค้าสามารถสั่งซื้อใหม่ได้ทุกเมื่อครับ</t>
  </si>
  <si>
    <t>P119</t>
  </si>
  <si>
    <t>หลังจากชำระเงินเสร็จสมบูรณ์ ใบเสร็จรับเงินจะถูกส่งไปยังอีเมลของลูกค้าค่ะ</t>
  </si>
  <si>
    <t>P120</t>
  </si>
  <si>
    <t>สวัสดีค่ะ ทางร้านรับชำระเงินหลายช่องทางนะคะ ได้แก่ 1) โอนเงินผ่านธนาคาร (Bank Transfer) 2) บัตรเครดิต/เดบิต (Visa, Mastercard) 3) พร้อมเพย์ (PromptPay) และ 4) เก็บเงินปลายทาง (COD) โดยมีค่าธรรมเนียมเพิ่มเติม 20 บาทต่อคำสั่งซื้อค่ะ หากมีข้อสงสัยเพิ่มเติมสามารถสอบถามได้เลยค่ะ</t>
  </si>
  <si>
    <t>P121</t>
  </si>
  <si>
    <t>run_3</t>
  </si>
  <si>
    <t>ตามนโยบายการคืนสินค้าที่มีอยู่ ยังไม่ได้ระบุระยะเวลาการได้รับเงินคืนหลังส่งสินค้าคืนไว้อย่างชัดเจนค่ะ ขออนุญาตให้ทีมงานตรวจสอบรายละเอียดให้ก่อนนะคะ รบกวนแจ้งเลขคำสั่งซื้อเพื่อช่วยในการตรวจสอบด้วยได้ไหมคะ</t>
  </si>
  <si>
    <t>P122</t>
  </si>
  <si>
    <t>กรณีสินค้ามีตำหนิ ยังไม่มีข้อมูลนโยบายที่ชัดเจนในเอกสารที่ให้มานะคะ ขอสอบถามเพิ่มเติมว่าได้รับสินค้ามากี่วัน และมีหลักฐานภาพถ่ายตำหนิไหมคะ เพื่อให้ทีมงานตรวจสอบให้ถูกต้องค่ะ</t>
  </si>
  <si>
    <t>P123</t>
  </si>
  <si>
    <t>ตามนโยบายการคืนสินค้า หากสินค้าอยู่ในสภาพเดิม ไม่มีการใช้งาน และอยู่ภายใน 14 วันนับจากได้รับสินค้า คุณสามารถขอคืนได้ค่ะ โดยนโยบายไม่ได้ระบุค่าธรรมเนียมเพิ่มเติม แต่ขอแนะนำให้ตรวจสอบว่าสินค้าไม่อยู่ในรายการที่ไม่สามารถคืนได้นะคะ กรุณาแจ้งรายละเอียดคำสั่งซื้อให้เราช่วยตรวจสอบได้ค่ะ</t>
  </si>
  <si>
    <t>P124</t>
  </si>
  <si>
    <t>ตามนโยบายของร้านค้า สินค้าที่มีตำหนิหรือไม่ตรงตามที่สั่งซื้อสามารถขอคืนเงินเต็มจำนวนได้ค่ะ แต่ในเอกสารที่ให้ไว้ไม่ได้ระบุรายการสินค้าที่ไม่รวมสิทธิ์การคืนเงินไว้โดยตรงนะคะ หากลูกค้าสงสัยเกี่ยวกับสินค้ารายการใด กรุณาแจ้งชื่อหรือรหัสสินค้าให้ทางเราตรวจสอบให้เพิ่มเติมได้ค่ะ</t>
  </si>
  <si>
    <t>P125</t>
  </si>
  <si>
    <t>เมื่อดำเนินการคืนเงินเสร็จสิ้น ทางร้านจะแจ้งให้ลูกค้าทราบทางอีเมลที่ลงทะเบียนไว้ค่ะ และสถานะการคืนเงินในระบบจะเปลี่ยนเป็น "Refunded" โดยหลังจากได้รับสินค้าคืนและตรวจสอบสภาพเรียบร้อยแล้ว ทางร้านจะดำเนินการคืนเงินภายใน 5-7 วันทำการ ไปยังบัญชีธนาคารหรือช่องทางการชำระเงินเดิมของลูกค้าค่ะ</t>
  </si>
  <si>
    <t>P126</t>
  </si>
  <si>
    <t>นโยบายการคืนเงินของร้านค่ะ หากสินค้ามีตำหนิหรือไม่ตรงตามที่สั่งซื้อ ลูกค้าสามารถขอคืนเงินเต็มจำนวนรวมถึงค่าจัดส่งได้ โดยต้องแจ้งภายใน 7 วันหลังจากได้รับสินค้าค่ะ หลังจากได้รับสินค้าคืนและตรวจสอบเรียบร้อยแล้ว ทางร้านจะดำเนินการคืนเงินภายใน 5-7 วันทำการ ไปยังช่องทางการชำระเงินเดิม และจะแจ้งผลทางอีเมลที่ลงทะเบียนไว้ พร้อมสถานะเปลี่ยนเป็น "Refunded" ค่ะ</t>
  </si>
  <si>
    <t>P127</t>
  </si>
  <si>
    <t>P128</t>
  </si>
  <si>
    <t>ตามนโยบายของทางร้าน เครื่องสำอางและชุดชั้นในไม่สามารถคืนได้ค่ะ โดยเครื่องสำอางต้องยังไม่ได้เปิดใช้งาน ส่วนชุดชั้นในไม่สามารถคืนได้ทุกกรณีตามข้อ 2 ค่ะ หากมีข้อสงสัยเพิ่มเติมสามารถสอบถามได้นะคะ</t>
  </si>
  <si>
    <t>P129</t>
  </si>
  <si>
    <t>P130</t>
  </si>
  <si>
    <t>เรียนลูกค้าค่ะ การขอคืนสินค้าสามารถแจ้งได้ทางแชทหรืออีเมล support@siamcart.demo โดยกรอกรายละเอียดคำสั่งซื้อและเหตุผลในการคืนสินค้าค่ะ ทั้งนี้สินค้าต้องอยู่ในสภาพเดิม ไม่มีการใช้งาน และมีบรรจุภัณฑ์เดิมครบถ้วน และต้องขอคืนภายใน 14 วันนับตั้งแต่วันที่ได้รับสินค้าค่ะ ทางร้านจะตอบกลับภายใน 24 ชั่วโมงทำการนะคะ</t>
  </si>
  <si>
    <t>P131</t>
  </si>
  <si>
    <t>P132</t>
  </si>
  <si>
    <t>สวัสดีค่ะ เงื่อนไขการคืนสินค้าของร้านคือ ลูกค้าสามารถขอคืนได้ภายใน 14 วันนับตั้งแต่วันที่ได้รับสินค้า โดยสินค้าต้องอยู่ในสภาพเดิม ไม่มีการใช้งาน และมีบรรจุภัณฑ์เดิมครบถ้วนค่ะ ทั้งนี้สินค้าบางประเภท เช่น ชุดชั้นใน เครื่องสำอางที่เปิดใช้แล้ว อาหารที่เปิดบรรจุภัณฑ์ และซอฟต์แวร์หรือคีย์ดิจิทัลที่เปิดใช้งานแล้ว ไม่สามารถคืนได้นะคะ หากต้องการแจ้งขอคืน สามารถติดต่อผ่านแชทหรืออีเมล support@siamcart.demo พร้อมระบุรายละเอียดคำสั่งซื้อและเหตุผลได้เลยค่ะ ทางร้านจะตอบกลับภายใน 24 ชั่วโมงทำการค่ะ</t>
  </si>
  <si>
    <t>P133</t>
  </si>
  <si>
    <t>ได้ค่ะ คุณลูกค้าสามารถขอเปลี่ยนสินค้าเป็นสินค้าชนิดอื่นได้ภายใน 14 วัน นับตั้งแต่วันที่ได้รับสินค้า โดยสินค้าต้องอยู่ในสภาพดี ไม่มีการใช้งาน และไม่มีความเสียหายค่ะ หากเป็นการเปลี่ยนไซส์หรือสี สินค้าต้องมีป้ายและบรรจุภัณฑ์เดิมครบถ้วนด้วยนะคะ</t>
  </si>
  <si>
    <t>P134</t>
  </si>
  <si>
    <t>สินค้าที่มีตำหนิจากการผลิตสามารถเปลี่ยนให้ฟรีได้ค่ะ โดยไม่มีค่าใช้จ่ายเพิ่มเติม และต้องแจ้งภายใน 7 วันหลังจากได้รับสินค้าค่ะ หากยังอยู่ในระยะเวลาดังกล่าว รบกวนแจ้งรายละเอียดคำสั่งซื้อให้ทางร้านทราบด้วยนะคะ</t>
  </si>
  <si>
    <t>P135</t>
  </si>
  <si>
    <t>P136</t>
  </si>
  <si>
    <t>ตามนโยบายการเปลี่ยนสินค้าค่ะ หากสินค้ามีตำหนิหรือไม่ถูกต้อง ทางร้านออกค่าจัดส่งให้ทั้งสองฝั่ง แต่หากเป็นการเปลี่ยนใจหรือเปลี่ยนไซส์ ลูกค้าต้องออกค่าจัดส่งในการส่งสินค้าคืน ส่วนค่าจัดส่งสินค้าใหม่ทางร้านออกให้ค่ะ ทั้งนี้ การเปลี่ยนสินค้าขึ้นอยู่กับสต็อกในขณะนั้น หากสินค้าหมด ทางร้านจะเสนอทางเลือกอื่นหรือคืนเงินให้ตามความเหมาะสมค่ะ</t>
  </si>
  <si>
    <t>P137</t>
  </si>
  <si>
    <t>P138</t>
  </si>
  <si>
    <t>ได้ค่ะ การเปลี่ยนสินค้าทำได้ขึ้นอยู่กับสต็อกสินค้าในขณะนั้น และมีเงื่อนไขตามนโยบาย เช่น ค่าจัดส่งจะขึ้นอยู่กับสาเหตุ ไม่ว่าจะเป็นสินค้ามีตำหนิหรือเปลี่ยนใจค่ะ ขอทราบรายละเอียดสินค้าและเหตุผลในการเปลี่ยนก่อนนะคะ เพื่อให้ช่วยตรวจสอบให้ถูกต้องค่ะ</t>
  </si>
  <si>
    <t>P139</t>
  </si>
  <si>
    <t>P140</t>
  </si>
  <si>
    <t>P141</t>
  </si>
  <si>
    <t>P142</t>
  </si>
  <si>
    <t>P143</t>
  </si>
  <si>
    <t>P144</t>
  </si>
  <si>
    <t>P145</t>
  </si>
  <si>
    <t>P146</t>
  </si>
  <si>
    <t>P147</t>
  </si>
  <si>
    <t>P148</t>
  </si>
  <si>
    <t>P149</t>
  </si>
  <si>
    <t>P150</t>
  </si>
  <si>
    <t>P151</t>
  </si>
  <si>
    <t>หลังจากที่ทางร้านได้รับสินค้าคืนและตรวจสอบสภาพเรียบร้อยแล้ว ทางร้านจะดำเนินการคืนเงินภายใน 5-7 วันทำการ โดยเงินจะโอนกลับไปยังบัญชีธนาคารหรือช่องทางการชำระเงินเดิมของลูกค้าค่ะ</t>
  </si>
  <si>
    <t>P152</t>
  </si>
  <si>
    <t>ตามนโยบายการคืนเงิน หากสินค้ามีตำหนิและแจ้งภายใน 7 วันหลังจากได้รับสินค้า จะได้รับเงินคืนเต็มจำนวนรวมค่าจัดส่งค่ะ แต่กรุณาแจ้งหมายเลขคำสั่งซื้อ (Order ID) เพื่อให้ตรวจสอบข้อมูลเพิ่มเติมให้ด้วยนะคะ</t>
  </si>
  <si>
    <t>P153</t>
  </si>
  <si>
    <t>กรณีเปลี่ยนใจคืนสินค้า จะไม่ได้รับเงินคืนเต็มจำนวนครับ โดยลูกค้าจะได้รับเงินคืนเฉพาะราคาสินค้าเท่านั้น ไม่รวมค่าจัดส่ง และทางร้านจะหักค่าธรรมเนียมการคืนสินค้าจำนวน 50 บาท ทั้งนี้สินค้าต้องอยู่ในสภาพเดิม ไม่มีการใช้งาน และมีบรรจุภัณฑ์เดิมครบถ้วน ภายใน 14 วันนับจากวันที่ได้รับสินค้าครับ</t>
  </si>
  <si>
    <t>P154</t>
  </si>
  <si>
    <t>ตามนโยบายการคืนเงินของร้าน สินค้าต่อไปนี้ไม่ได้รับเงินคืน: 1) สินค้าที่ใช้แล้วหรือเสียหายจากการใช้งานของลูกค้า 2) สินค้าที่คืนเกิน 14 วันนับจากวันที่ได้รับ 3) สินค้าที่ไม่สามารถคืนได้ตามนโยบายการคืนสินค้า เช่น ชุดชั้นในและเครื่องแต่งกายสำหรับว่ายน้ำ เครื่องสำอางที่เปิดใช้งานแล้ว อาหารและเครื่องดื่มที่เปิดบรรจุภัณฑ์แล้ว และซอฟต์แวร์หรือคีย์ดิจิทัลที่เปิดใช้งานแล้ว</t>
  </si>
  <si>
    <t>P155</t>
  </si>
  <si>
    <t>เมื่อดำเนินการคืนเงินเสร็จสิ้น ทางร้านจะแจ้งให้ลูกค้าทราบทางอีเมลที่ลงทะเบียนไว้ และสถานะการคืนเงินในระบบจะเปลี่ยนเป็น "Refunded" ค่ะ</t>
  </si>
  <si>
    <t>P156</t>
  </si>
  <si>
    <t>สวัสดีค่ะ นโยบายการคืนเงินของทางร้านมีดังนี้:
1. หลังจากได้รับสินค้าคืนและตรวจสอบสภาพเรียบร้อยแล้ว ทางร้านจะคืนเงินภายใน 5-7 วันทำการ โดยโอนกลับไปยังช่องทางที่ชำระเงินเดิม
2. หากสินค้ามีตำหนิหรือไม่ตรงตามที่สั่งซื้อ ลูกค้าสามารถขอคืนเงินเต็มจำนวนรวมค่าจัดส่งได้ โดยแจ้งภายใน 7 วันหลังจากได้รับสินค้า
3. กรณีเปลี่ยนใจและสินค้าอยู่ในสภาพสมบูรณ์ จะได้รับคืนเฉพาะราคาสินค้า ไม่รวมค่าจัดส่ง และหักค่าธรรมเนียมการคืน 50 บาท
4. ไม่คืนเงินสำหรับสินค้าที่ใช้แล้วหรือเสียหายจากการใช้งาน คืนเกิน 14 วัน หรือเป็นสินค้าที่ไม่สามารถคืนได้ตามนโยบาย
5. เมื่อคืนเงินเสร็จสิ้น ทางร้านจะแจ้งทางอีเมล และสถานะจะเปลี่ยนเป็น "Refunded" ค่ะ</t>
  </si>
  <si>
    <t>P157</t>
  </si>
  <si>
    <t>ตามนโยบายของร้าน ลูกค้าสามารถขอคืนสินค้าได้ภายใน 14 วันนับตั้งแต่วันที่ได้รับสินค้า โดยสินค้าต้องอยู่ในสภาพเดิม ไม่มีการใช้งาน และมีบรรจุภัณฑ์เดิมครบถ้วนค่ะ สำหรับเสื้อผ้าและรองเท้าต้องไม่ถูกใช้หรือซักแล้ว และต้องมีป้ายติดครบ ส่วนสินค้าอิเล็กทรอนิกส์สามารถคืนได้ภายใน 7 วัน และต้องไม่มีร่องรอยความเสียหายจากการใช้งาน พร้อมอุปกรณ์และสายชาร์จครบชุดนะคะ</t>
  </si>
  <si>
    <t>P158</t>
  </si>
  <si>
    <t>ไม่สามารถคืนได้ค่ะ ตามนโยบายการคืนสินค้า เครื่องสำอางและผลิตภัณฑ์ดูแลส่วนบุคคลที่เปิดใช้งานแล้ว รวมถึงชุดชั้นใน ไม่สามารถคืนได้ค่ะ</t>
  </si>
  <si>
    <t>P159</t>
  </si>
  <si>
    <t>ได้ค่ะ เสื้อผ้าและรองเท้าสามารถคืนได้ภายใน 14 วันนับจากวันที่ได้รับสินค้า โดยสินค้าต้องไม่ถูกใช้หรือซักแล้ว และต้องมีป้ายติดอยู่ครบถ้วนนะคะ หากลองใส่แล้วแต่ยังไม่ใช้และป้ายยังครบ ก็สามารถคืนได้ค่ะ</t>
  </si>
  <si>
    <t>P160</t>
  </si>
  <si>
    <t>You can start a return by contacting us via chat or email at support@siamcart.demo with your order ID and the reason for the return. Our team will respond within 24 business hours. Please make sure the item meets the conditions in our return policy (e.g., within 14 days of receipt, unused, with original packaging).</t>
  </si>
  <si>
    <t>P161</t>
  </si>
  <si>
    <t>สินค้าอิเล็กทรอนิกส์สามารถคืนได้ภายใน 7 วัน นับตั้งแต่วันที่ได้รับสินค้าค่ะ โดยสินค้าต้องไม่มีความเสียหายจากการใช้งาน และต้องมีอุปกรณ์ สายชาร์จ และคู่มือครบชุดตามเงื่อนไขของนโยบายการคืนสินค้าค่ะ</t>
  </si>
  <si>
    <t>P162</t>
  </si>
  <si>
    <t>ครับ เงื่อนไขการคืนสินค้าของร้านมีดังนี้ครับ:
1. ลูกค้าสามารถขอคืนสินค้าได้ภายใน 14 วันนับตั้งแต่วันที่ได้รับสินค้า โดยสินค้าต้องอยู่ในสภาพเดิม ไม่มีการใช้งาน และมีบรรจุภัณฑ์เดิมครบถ้วน
2. เสื้อผ้าและรองเท้าสามารถคืนได้ภายใน 14 วัน โดยต้องไม่ถูกใช้หรือซักแล้ว และต้องมีป้ายติดอยู่ครบถ้วน
3. สินค้าอิเล็กทรอนิกส์สามารถคืนได้ภายใน 7 วันนับจากวันที่ได้รับสินค้า โดยไม่มีความเสียหายจากการใช้งาน และต้องมีอุปกรณ์และสายชาร์จครบชุด
4. สินค้าที่ไม่สามารถคืนได้ ได้แก่ ชุดชั้นในและชุดว่ายน้ำ เครื่องสำอางและผลิตภัณฑ์ดูแลส่วนบุคคลที่เปิดใช้งานแล้ว อาหารและเครื่องดื่มที่เปิดบรรจุภัณฑ์แล้ว และซอฟต์แวร์หรือคีย์ดิจิทัลที่เปิดใช้งานแล้ว
หากต้องการแจ้งขอคืนสินค้า กรุณาแจ้งหมายเลขคำสั่งซื้อและเหตุผลในการคืนผ่านแชทหรืออีเมล support@siamcart.demo ครับ ทางร้านจะตอบกลับภายใน 24 ชั่วโมงทำการครับ</t>
  </si>
  <si>
    <t>P163</t>
  </si>
  <si>
    <t>P164</t>
  </si>
  <si>
    <t>P165</t>
  </si>
  <si>
    <t>ลูกค้าสามารถขอเปลี่ยนไซส์หรือสีได้ภายใน 14 วันนับตั้งแต่วันที่ได้รับสินค้า โดยสินค้าต้องอยู่ในสภาพดี ไม่มีการใช้งาน และมีป้ายและบรรจุภัณฑ์เดิมครบถ้วนครับ</t>
  </si>
  <si>
    <t>P166</t>
  </si>
  <si>
    <t>ตามนโยบายการเปลี่ยนสินค้า ค่าจัดส่งจะขึ้นอยู่กับกรณีครับ:
- หากสินค้ามีตำหนิ เสียหายจากการขนส่ง หรือไม่ตรงตามที่สั่งซื้อ ทางร้านเป็นผู้ออกค่าจัดส่งให้ทั้งสองฝั่ง
- หากเปลี่ยนใจหรือเปลี่ยนไซส์/สี ลูกค้าต้องออกค่าจัดส่งในการส่งสินค้าคืน ส่วนทางร้านออกค่าจัดส่งในการส่งสินค้าใหม่ให้ครับ</t>
  </si>
  <si>
    <t>P167</t>
  </si>
  <si>
    <t>If the item you want to exchange for is out of stock, the store will offer alternative options or process a refund as appropriate, per our exchange policy.</t>
  </si>
  <si>
    <t>P168</t>
  </si>
  <si>
    <t>Exact repeat of P048; verify only the master row.</t>
  </si>
  <si>
    <t>P169</t>
  </si>
  <si>
    <t>ใช่ค่ะ ปัจจุบันทางร้านให้บริการจัดส่งเฉพาะภายในประเทศไทยเท่านั้น ไม่ให้บริการจัดส่งระหว่างประเทศค่ะ</t>
  </si>
  <si>
    <t>P170</t>
  </si>
  <si>
    <t>ตามนโยบายการจัดส่งของร้านค่ะ สั่งซื้อตั้งแต่ 500 บาทขึ้นไปจะได้รับบริการจัดส่งฟรีค่ะ แต่ถ้ายอดสั่งซื้อต่ำกว่า 500 บาท จะคิดค่าจัดส่งในอัตราคงที่ 50 บาทค่ะ</t>
  </si>
  <si>
    <t>P171</t>
  </si>
  <si>
    <t>ครับ การจัดส่งในกรุงเทพฯ และปริมณฑลใช้เวลา 1-3 วันทำการ ส่วนต่างจังหวัดใช้เวลา 2-5 วันทำการ และพื้นที่ห่างไกล (เกาะ ภูเขา) ใช้เวลา 3-7 วันทำการครับ</t>
  </si>
  <si>
    <t>P172</t>
  </si>
  <si>
    <t>ได้ครับ ตามนโยบายการจัดส่ง หากสินค้าจัดส่งล่าช้าเกิน 7 วันทำการนับจากวันที่สั่งซื้อ ลูกค้าสามารถติดต่อร้านเพื่อขอรับค่าชดเชยเป็นคูปองส่วนลด 50 บาท สำหรับการสั่งซื้อครั้งถัดไป โดยต้องแจ้งภายใน 14 วันนับจากวันที่สั่งซื้อครับ หากท่านต้องการตรวจสอบสิทธิ์ กรุณาแจ้งหมายเลขคำสั่งซื้อ (Order ID) ให้ด้วยนะครับ</t>
  </si>
  <si>
    <t>P173</t>
  </si>
  <si>
    <t>If your package is lost in transit, please notify us within 7 days of the expected delivery date. We will then investigate with the carrier, and if the loss is confirmed, we will reship the item or issue a full refund.</t>
  </si>
  <si>
    <t>P174</t>
  </si>
  <si>
    <t>ขออภัยครับ กรุณาแจ้งหมายเลขคำสั่งซื้อ (Order ID) เพื่อให้ตรวจสอบสถานะการจัดส่งให้ได้ครับ</t>
  </si>
  <si>
    <t>P175</t>
  </si>
  <si>
    <t>Exact repeat of P055; verify only the master row.</t>
  </si>
  <si>
    <t>P176</t>
  </si>
  <si>
    <t>Exact repeat of P056; verify only the master row.</t>
  </si>
  <si>
    <t>P177</t>
  </si>
  <si>
    <t>ค่าธรรมเนียมการชำระเงินปลายทาง (COD) อยู่ที่ 20 บาทต่อคำสั่งซื้อครับ โดยลูกค้าต้องชำระเงินสดให้พนักงานขนส่งในวันที่ได้รับสินค้าเท่านั้น</t>
  </si>
  <si>
    <t>P178</t>
  </si>
  <si>
    <t>ตามนโยบายการชำระเงินของร้าน หากการชำระเงินไม่สำเร็จ ระบบจะยกเลิกคำสั่งซื้อโดยอัตโนมัติภายใน 24 ชั่วโมง และคุณสามารถสั่งซื้อใหม่ได้ทุกเมื่อครับ</t>
  </si>
  <si>
    <t>P179</t>
  </si>
  <si>
    <t>หลังจากชำระเงินเสร็จสมบูรณ์ ใบเสร็จรับเงินจะถูกส่งไปยังอีเมลที่ลงทะเบียนของลูกค้าค่ะ หากต้องการใบกำกับภาษีแบบเต็มรูปแบบ สามารถติดต่อ support@siamcart.demo ได้ค่ะ</t>
  </si>
  <si>
    <t>P180</t>
  </si>
  <si>
    <t>ร้านค้ารับชำระเงินผ่านช่องทางต่อไปนี้: โอนเงินผ่านธนาคาร (Bank Transfer), บัตรเครดิตและบัตรเดบิต (Visa, Mastercard), พร้อมเพย์ (PromptPay) และเก็บเงินปลายทาง (COD) โดยการเก็บเงินปลายทางมีค่าธรรมเนียมเพิ่มเติม 20 บาทต่อคำสั่งซื้อค่ะ</t>
  </si>
  <si>
    <t>Source: 1 September 2026 run. Gray rows mirror exact repeats within the same scenario and system.</t>
  </si>
  <si>
    <t>Policy criterion review: 305 unique items; 73 exact repeats linked</t>
  </si>
  <si>
    <t>Score each yellow item 0 or 1; gray rows copy the criterion score from identical response and same scenario/system.</t>
  </si>
  <si>
    <t>Required criterion</t>
  </si>
  <si>
    <t>Criterion score (0/1)</t>
  </si>
  <si>
    <t>Reason / evidence</t>
  </si>
  <si>
    <t>Scenario source note</t>
  </si>
  <si>
    <t>refund_processing_time=5-7 business days</t>
  </si>
  <si>
    <t>source=refund_policy.md; section=Section 1: Refund Processing Timeline</t>
  </si>
  <si>
    <t>refund_destination=original payment method</t>
  </si>
  <si>
    <t>defective_refund=full refund including shipping costs</t>
  </si>
  <si>
    <t>source=refund_policy.md; section=Section 2: Full Refund — Defective or Incorrect Items</t>
  </si>
  <si>
    <t>defective_notification=within 7 days of receipt</t>
  </si>
  <si>
    <t>change_of_mind_refund=product price only (shipping not included)</t>
  </si>
  <si>
    <t>source=refund_policy.md; section=Section 3: Partial Refund — Change of Mind</t>
  </si>
  <si>
    <t>change_of_mind_fee=50 THB</t>
  </si>
  <si>
    <t>exclusion_damaged_by_customer=not refundable</t>
  </si>
  <si>
    <t>source=refund_policy.md; section=Section 4: Refund Exclusions</t>
  </si>
  <si>
    <t>exclusion_after_14_days=not refundable</t>
  </si>
  <si>
    <t>exclusion_non_returnable=not refundable</t>
  </si>
  <si>
    <t>refund_notification=email</t>
  </si>
  <si>
    <t>source=refund_policy.md; section=Section 5: Refund Notification</t>
  </si>
  <si>
    <t>refund_status_label=Refunded</t>
  </si>
  <si>
    <t>return_window=14 calendar days</t>
  </si>
  <si>
    <t>source=return_policy.md; section=Section 1: Standard Return Window</t>
  </si>
  <si>
    <t>return_condition=unused original packaging</t>
  </si>
  <si>
    <t>non_returnable=intimate apparel and swimwear</t>
  </si>
  <si>
    <t>source=return_policy.md; section=Section 2: Non-Returnable Items</t>
  </si>
  <si>
    <t>non_returnable=opened cosmetics and personal care products</t>
  </si>
  <si>
    <t>non_returnable=opened food and beverage items</t>
  </si>
  <si>
    <t>fashion_return_window=14 days</t>
  </si>
  <si>
    <t>source=return_policy.md; section=Section 3: Fashion Items</t>
  </si>
  <si>
    <t>fashion_condition=unworn unwashed with tags</t>
  </si>
  <si>
    <t>initiate_via=chat or email</t>
  </si>
  <si>
    <t>source=return_policy.md; section=Section 5: How to Initiate a Return</t>
  </si>
  <si>
    <t>support_email=support@siamcart.demo</t>
  </si>
  <si>
    <t>response_time=24 business hours</t>
  </si>
  <si>
    <t>electronics_return_window=7 calendar days</t>
  </si>
  <si>
    <t>source=return_policy.md; section=Section 4: Electronics Return Window</t>
  </si>
  <si>
    <t>electronics_condition=no user damage all accessories included</t>
  </si>
  <si>
    <t>exchange_window=14 calendar days</t>
  </si>
  <si>
    <t>source=exchange_policy.md; section=Section 1: Exchange Eligibility</t>
  </si>
  <si>
    <t>exchange_condition=unused no damage</t>
  </si>
  <si>
    <t>defective_exchange=immediate no additional cost</t>
  </si>
  <si>
    <t>source=exchange_policy.md; section=Section 2: Defective Item Exchange</t>
  </si>
  <si>
    <t>size_color_exchange_window=14 days</t>
  </si>
  <si>
    <t>source=exchange_policy.md; section=Section 3: Size and Color Exchange</t>
  </si>
  <si>
    <t>price_difference=pay or refund difference</t>
  </si>
  <si>
    <t>defect_exchange_shipping=store covers both ways</t>
  </si>
  <si>
    <t>source=exchange_policy.md; section=Section 4: Exchange Shipping</t>
  </si>
  <si>
    <t>change_of_mind_shipping=customer pays return store pays outbound</t>
  </si>
  <si>
    <t>exchange_subject_to=stock availability</t>
  </si>
  <si>
    <t>source=exchange_policy.md; section=Section 5: Exchange Availability</t>
  </si>
  <si>
    <t>out_of_stock=offer alternatives or refund</t>
  </si>
  <si>
    <t>shipping_area=Thailand only</t>
  </si>
  <si>
    <t>source=shipping_policy.md; section=Section 1: Domestic Shipping Coverage</t>
  </si>
  <si>
    <t>international_shipping=not available</t>
  </si>
  <si>
    <t>free_shipping_threshold=500 THB</t>
  </si>
  <si>
    <t>source=shipping_policy.md; section=Section 2: Free Shipping Threshold</t>
  </si>
  <si>
    <t>shipping_fee_below_threshold=50 THB flat</t>
  </si>
  <si>
    <t>delivery_bangkok=1-3 business days</t>
  </si>
  <si>
    <t>source=shipping_policy.md; section=Section 3: Delivery Timeframes</t>
  </si>
  <si>
    <t>delivery_provinces=2-5 business days</t>
  </si>
  <si>
    <t>delivery_remote=3-7 business days</t>
  </si>
  <si>
    <t>delay_compensation=50 THB coupon</t>
  </si>
  <si>
    <t>source=shipping_policy.md; section=Section 4: Shipping Delay Handling</t>
  </si>
  <si>
    <t>delay_threshold=7 business days</t>
  </si>
  <si>
    <t>delay_notification=within 14 days of order date</t>
  </si>
  <si>
    <t>lost_notification=within 7 days of expected delivery date</t>
  </si>
  <si>
    <t>source=shipping_policy.md; section=Section 5: Lost Package Procedure</t>
  </si>
  <si>
    <t>lost_action=reship or full refund</t>
  </si>
  <si>
    <t>accepted_methods=Bank Transfer, Credit/Debit Card (Visa Mastercard), PromptPay, COD</t>
  </si>
  <si>
    <t>source=payment_policy.md; section=Section 1: Accepted Payment Methods</t>
  </si>
  <si>
    <t>bank_transfer_confirmation=1-2 business hours</t>
  </si>
  <si>
    <t>source=payment_policy.md; section=Section 2: Payment Confirmation</t>
  </si>
  <si>
    <t>card_promptpay_confirmation=immediate</t>
  </si>
  <si>
    <t>cod_fee=20 THB per order</t>
  </si>
  <si>
    <t>source=payment_policy.md; section=Section 3: Cash on Delivery (COD)</t>
  </si>
  <si>
    <t>cod_payment=cash to driver on delivery</t>
  </si>
  <si>
    <t>failed_payment_action=auto cancel within 24 hours</t>
  </si>
  <si>
    <t>source=payment_policy.md; section=Section 4: Failed Payment Handling</t>
  </si>
  <si>
    <t>retry=place new order</t>
  </si>
  <si>
    <t>receipt=sent to email after payment completion</t>
  </si>
  <si>
    <t>source=payment_policy.md; section=Section 5: Invoice and Receipt</t>
  </si>
  <si>
    <t>tax_invoice=contact support@siamcart.demo</t>
  </si>
  <si>
    <t>Exact repeat: criterion score copied from row 18.</t>
  </si>
  <si>
    <t>Exact repeat: criterion score copied from row 19.</t>
  </si>
  <si>
    <t>Exact repeat: criterion score copied from row 23.</t>
  </si>
  <si>
    <t>Exact repeat: criterion score copied from row 24.</t>
  </si>
  <si>
    <t>Exact repeat: criterion score copied from row 28.</t>
  </si>
  <si>
    <t>Exact repeat: criterion score copied from row 29.</t>
  </si>
  <si>
    <t>Exact repeat: criterion score copied from row 36.</t>
  </si>
  <si>
    <t>Exact repeat: criterion score copied from row 37.</t>
  </si>
  <si>
    <t>Exact repeat: criterion score copied from row 40.</t>
  </si>
  <si>
    <t>Exact repeat: criterion score copied from row 41.</t>
  </si>
  <si>
    <t>Exact repeat: criterion score copied from row 44.</t>
  </si>
  <si>
    <t>Exact repeat: criterion score copied from row 45.</t>
  </si>
  <si>
    <t>Exact repeat: criterion score copied from row 46.</t>
  </si>
  <si>
    <t>Exact repeat: criterion score copied from row 47.</t>
  </si>
  <si>
    <t>Exact repeat: criterion score copied from row 48.</t>
  </si>
  <si>
    <t>Exact repeat: criterion score copied from row 49.</t>
  </si>
  <si>
    <t>Exact repeat: criterion score copied from row 50.</t>
  </si>
  <si>
    <t>Exact repeat: criterion score copied from row 51.</t>
  </si>
  <si>
    <t>Exact repeat: criterion score copied from row 52.</t>
  </si>
  <si>
    <t>Exact repeat: criterion score copied from row 53.</t>
  </si>
  <si>
    <t>Exact repeat: criterion score copied from row 54.</t>
  </si>
  <si>
    <t>Exact repeat: criterion score copied from row 55.</t>
  </si>
  <si>
    <t>Exact repeat: criterion score copied from row 56.</t>
  </si>
  <si>
    <t>Exact repeat: criterion score copied from row 57.</t>
  </si>
  <si>
    <t>Exact repeat: criterion score copied from row 58.</t>
  </si>
  <si>
    <t>Exact repeat: criterion score copied from row 59.</t>
  </si>
  <si>
    <t>Exact repeat: criterion score copied from row 60.</t>
  </si>
  <si>
    <t>Exact repeat: criterion score copied from row 61.</t>
  </si>
  <si>
    <t>Exact repeat: criterion score copied from row 62.</t>
  </si>
  <si>
    <t>Exact repeat: criterion score copied from row 63.</t>
  </si>
  <si>
    <t>Exact repeat: criterion score copied from row 64.</t>
  </si>
  <si>
    <t>Exact repeat: criterion score copied from row 65.</t>
  </si>
  <si>
    <t>Exact repeat: criterion score copied from row 66.</t>
  </si>
  <si>
    <t>Exact repeat: criterion score copied from row 67.</t>
  </si>
  <si>
    <t>Exact repeat: criterion score copied from row 105.</t>
  </si>
  <si>
    <t>Exact repeat: criterion score copied from row 106.</t>
  </si>
  <si>
    <t>Exact repeat: criterion score copied from row 121.</t>
  </si>
  <si>
    <t>Exact repeat: criterion score copied from row 122.</t>
  </si>
  <si>
    <t>Exact repeat: criterion score copied from row 123.</t>
  </si>
  <si>
    <t>Source: final_revision_2026/policy_manual_review.csv and frozen scenario policy criteria.</t>
  </si>
  <si>
    <t>Review guide</t>
  </si>
  <si>
    <t>Original responses</t>
  </si>
  <si>
    <t>Distinct responses to judge</t>
  </si>
  <si>
    <t>Exact repeated responses</t>
  </si>
  <si>
    <t>Original criterion items</t>
  </si>
  <si>
    <t>Distinct criterion items to judge</t>
  </si>
  <si>
    <t>Linked criterion items</t>
  </si>
  <si>
    <t>Unreviewed policy outputs</t>
  </si>
  <si>
    <t>All scores intentionally blank</t>
  </si>
  <si>
    <t>Steps</t>
  </si>
  <si>
    <t>1. Score yellow G cells in Criterion review (0/1). Give a reason for a 0.</t>
  </si>
  <si>
    <t>2. In Response review, judge yellow I cells: 0=no contradiction/invention; 1=yes.</t>
  </si>
  <si>
    <t>3. Check the automatic response result in J. Gray cells reflect identical outputs in the same scenario/system.</t>
  </si>
  <si>
    <t>4. Do not present machine triage as human review; a reviewer must verify every distinct answer.</t>
  </si>
  <si>
    <t>If you have already entered scores in the earlier workbook, preserve it; merge those entries before switching.</t>
  </si>
  <si>
    <t>2+C97:F97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</si>
</sst>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0"/>
      <color rgb="FFFFFFFF"/>
      <name val="Arial"/>
      <family val="2"/>
    </font>
    <font>
      <b/>
      <sz val="14"/>
      <color rgb="FF254866"/>
      <name val="Arial"/>
      <family val="2"/>
    </font>
    <font>
      <i/>
      <sz val="10"/>
      <color rgb="FF526777"/>
      <name val="Arial"/>
      <family val="2"/>
    </font>
    <font>
      <b/>
      <sz val="16"/>
      <color rgb="FF254866"/>
      <name val="Arial"/>
      <family val="2"/>
    </font>
    <font>
      <b/>
      <sz val="13"/>
      <color rgb="FF254866"/>
      <name val="Arial"/>
      <family val="2"/>
    </font>
    <font>
      <sz val="11"/>
      <name val="Carlito"/>
    </font>
    <font>
      <sz val="9"/>
      <name val="宋体"/>
      <family val="3"/>
      <charset val="134"/>
    </font>
  </fonts>
  <fills count="5">
    <fill>
      <patternFill patternType="none"/>
    </fill>
    <fill>
      <patternFill patternType="gray125"/>
    </fill>
    <fill>
      <patternFill patternType="solid">
        <fgColor rgb="FFFFF0B5"/>
      </patternFill>
    </fill>
    <fill>
      <patternFill patternType="solid">
        <fgColor rgb="FFE8EDF1"/>
      </patternFill>
    </fill>
    <fill>
      <patternFill patternType="solid">
        <fgColor rgb="FF254866"/>
      </patternFill>
    </fill>
  </fills>
  <borders count="1">
    <border>
      <left/>
      <right/>
      <top/>
      <bottom/>
      <diagonal/>
    </border>
  </borders>
  <cellStyleXfs count="2">
    <xf numFmtId="0" fontId="0" fillId="0" borderId="0"/>
    <xf numFmtId="0" fontId="6" fillId="0" borderId="0"/>
  </cellStyleXfs>
  <cellXfs count="9">
    <xf numFmtId="0" fontId="0" fillId="0" borderId="0" xfId="0"/>
    <xf numFmtId="0" fontId="0" fillId="2" borderId="0" xfId="1" applyFont="1" applyFill="1"/>
    <xf numFmtId="0" fontId="0" fillId="3" borderId="0" xfId="1" applyFont="1" applyFill="1"/>
    <xf numFmtId="0" fontId="1" fillId="4" borderId="0" xfId="1" applyFont="1" applyFill="1" applyAlignment="1">
      <alignment vertical="center" wrapText="1"/>
    </xf>
    <xf numFmtId="0" fontId="2" fillId="0" borderId="0" xfId="1" applyFont="1"/>
    <xf numFmtId="0" fontId="3" fillId="0" borderId="0" xfId="1" applyFont="1"/>
    <xf numFmtId="0" fontId="0" fillId="0" borderId="0" xfId="1" applyFont="1" applyAlignment="1">
      <alignment wrapText="1"/>
    </xf>
    <xf numFmtId="0" fontId="4" fillId="0" borderId="0" xfId="1" applyFont="1"/>
    <xf numFmtId="0" fontId="5" fillId="0" borderId="0" xfId="1" applyFont="1"/>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87"/>
  <sheetViews>
    <sheetView showGridLines="0" tabSelected="1" workbookViewId="0">
      <pane ySplit="4" topLeftCell="A5" activePane="bottomLeft" state="frozen"/>
      <selection pane="bottomLeft" activeCell="I156" sqref="I156"/>
    </sheetView>
  </sheetViews>
  <sheetFormatPr defaultRowHeight="14.25"/>
  <cols>
    <col min="1" max="1" width="14" customWidth="1"/>
    <col min="2" max="2" width="10" customWidth="1"/>
    <col min="3" max="4" width="15" customWidth="1"/>
    <col min="5" max="5" width="68" customWidth="1"/>
    <col min="6" max="8" width="14" customWidth="1"/>
    <col min="9" max="9" width="25" customWidth="1"/>
    <col min="10" max="10" width="16" customWidth="1"/>
    <col min="11" max="11" width="48" customWidth="1"/>
  </cols>
  <sheetData>
    <row r="2" spans="1:11" ht="18">
      <c r="A2" s="4" t="s">
        <v>0</v>
      </c>
    </row>
    <row r="3" spans="1:11">
      <c r="A3" s="5" t="s">
        <v>1</v>
      </c>
    </row>
    <row r="4" spans="1:11" ht="39.950000000000003" customHeight="1">
      <c r="A4" s="3" t="s">
        <v>2</v>
      </c>
      <c r="B4" s="3" t="s">
        <v>3</v>
      </c>
      <c r="C4" s="3" t="s">
        <v>4</v>
      </c>
      <c r="D4" s="3" t="s">
        <v>5</v>
      </c>
      <c r="E4" s="3" t="s">
        <v>6</v>
      </c>
      <c r="F4" s="3" t="s">
        <v>7</v>
      </c>
      <c r="G4" s="3" t="s">
        <v>8</v>
      </c>
      <c r="H4" s="3" t="s">
        <v>9</v>
      </c>
      <c r="I4" s="3" t="s">
        <v>10</v>
      </c>
      <c r="J4" s="3" t="s">
        <v>11</v>
      </c>
      <c r="K4" s="3" t="s">
        <v>12</v>
      </c>
    </row>
    <row r="5" spans="1:11" ht="86.1" customHeight="1">
      <c r="A5" t="s">
        <v>13</v>
      </c>
      <c r="B5" t="s">
        <v>14</v>
      </c>
      <c r="C5" t="s">
        <v>15</v>
      </c>
      <c r="D5" t="s">
        <v>16</v>
      </c>
      <c r="E5" s="6" t="s">
        <v>17</v>
      </c>
      <c r="F5">
        <v>2</v>
      </c>
      <c r="G5">
        <f>COUNT('Criterion review'!G5:G6)</f>
        <v>0</v>
      </c>
      <c r="H5">
        <f>SUM('Criterion review'!G5:G6)</f>
        <v>0</v>
      </c>
      <c r="I5" s="1">
        <v>0</v>
      </c>
      <c r="J5" t="str">
        <f t="shared" ref="J5:J36" si="0">IF(OR(G5&lt;F5,COUNT(I5)=0),"Pending",IF(AND(H5=F5,I5=0),"Correct","Incorrect"))</f>
        <v>Pending</v>
      </c>
      <c r="K5" s="1"/>
    </row>
    <row r="6" spans="1:11" ht="86.1" customHeight="1">
      <c r="A6" t="s">
        <v>18</v>
      </c>
      <c r="B6" t="s">
        <v>14</v>
      </c>
      <c r="C6" t="s">
        <v>19</v>
      </c>
      <c r="D6" t="s">
        <v>16</v>
      </c>
      <c r="E6" s="6" t="s">
        <v>20</v>
      </c>
      <c r="F6">
        <v>2</v>
      </c>
      <c r="G6">
        <f>COUNT('Criterion review'!G7:G8)</f>
        <v>0</v>
      </c>
      <c r="H6">
        <f>SUM('Criterion review'!G7:G8)</f>
        <v>0</v>
      </c>
      <c r="I6" s="1">
        <v>0</v>
      </c>
      <c r="J6" t="str">
        <f t="shared" si="0"/>
        <v>Pending</v>
      </c>
      <c r="K6" s="1"/>
    </row>
    <row r="7" spans="1:11" ht="86.1" customHeight="1">
      <c r="A7" t="s">
        <v>21</v>
      </c>
      <c r="B7" t="s">
        <v>14</v>
      </c>
      <c r="C7" t="s">
        <v>22</v>
      </c>
      <c r="D7" t="s">
        <v>16</v>
      </c>
      <c r="E7" s="6" t="s">
        <v>23</v>
      </c>
      <c r="F7">
        <v>2</v>
      </c>
      <c r="G7">
        <f>COUNT('Criterion review'!G9:G10)</f>
        <v>0</v>
      </c>
      <c r="H7">
        <f>SUM('Criterion review'!G9:G10)</f>
        <v>0</v>
      </c>
      <c r="I7" s="1">
        <v>1</v>
      </c>
      <c r="J7" t="str">
        <f t="shared" si="0"/>
        <v>Pending</v>
      </c>
      <c r="K7" s="1"/>
    </row>
    <row r="8" spans="1:11" ht="86.1" customHeight="1">
      <c r="A8" t="s">
        <v>24</v>
      </c>
      <c r="B8" t="s">
        <v>14</v>
      </c>
      <c r="C8" t="s">
        <v>25</v>
      </c>
      <c r="D8" t="s">
        <v>16</v>
      </c>
      <c r="E8" s="6" t="s">
        <v>26</v>
      </c>
      <c r="F8">
        <v>3</v>
      </c>
      <c r="G8">
        <f>COUNT('Criterion review'!G11:G13)</f>
        <v>0</v>
      </c>
      <c r="H8">
        <f>SUM('Criterion review'!G11:G13)</f>
        <v>0</v>
      </c>
      <c r="I8" s="1">
        <v>0</v>
      </c>
      <c r="J8" t="str">
        <f t="shared" si="0"/>
        <v>Pending</v>
      </c>
      <c r="K8" s="1"/>
    </row>
    <row r="9" spans="1:11" ht="86.1" customHeight="1">
      <c r="A9" t="s">
        <v>27</v>
      </c>
      <c r="B9" t="s">
        <v>14</v>
      </c>
      <c r="C9" t="s">
        <v>28</v>
      </c>
      <c r="D9" t="s">
        <v>16</v>
      </c>
      <c r="E9" s="6" t="s">
        <v>29</v>
      </c>
      <c r="F9">
        <v>2</v>
      </c>
      <c r="G9">
        <f>COUNT('Criterion review'!G14:G15)</f>
        <v>0</v>
      </c>
      <c r="H9">
        <f>SUM('Criterion review'!G14:G15)</f>
        <v>0</v>
      </c>
      <c r="I9" s="1">
        <v>0</v>
      </c>
      <c r="J9" t="str">
        <f t="shared" si="0"/>
        <v>Pending</v>
      </c>
      <c r="K9" s="1"/>
    </row>
    <row r="10" spans="1:11" ht="86.1" customHeight="1">
      <c r="A10" t="s">
        <v>30</v>
      </c>
      <c r="B10" t="s">
        <v>14</v>
      </c>
      <c r="C10" t="s">
        <v>31</v>
      </c>
      <c r="D10" t="s">
        <v>16</v>
      </c>
      <c r="E10" s="6" t="s">
        <v>32</v>
      </c>
      <c r="F10">
        <v>2</v>
      </c>
      <c r="G10">
        <f>COUNT('Criterion review'!G16:G17)</f>
        <v>0</v>
      </c>
      <c r="H10">
        <f>SUM('Criterion review'!G16:G17)</f>
        <v>0</v>
      </c>
      <c r="I10" s="1">
        <v>1</v>
      </c>
      <c r="J10" t="str">
        <f t="shared" si="0"/>
        <v>Pending</v>
      </c>
      <c r="K10" s="1"/>
    </row>
    <row r="11" spans="1:11" ht="86.1" customHeight="1">
      <c r="A11" t="s">
        <v>33</v>
      </c>
      <c r="B11" t="s">
        <v>14</v>
      </c>
      <c r="C11" t="s">
        <v>34</v>
      </c>
      <c r="D11" t="s">
        <v>16</v>
      </c>
      <c r="E11" s="6" t="s">
        <v>35</v>
      </c>
      <c r="F11">
        <v>2</v>
      </c>
      <c r="G11">
        <f>COUNT('Criterion review'!G18:G19)</f>
        <v>0</v>
      </c>
      <c r="H11">
        <f>SUM('Criterion review'!G18:G19)</f>
        <v>0</v>
      </c>
      <c r="I11" s="1">
        <v>0</v>
      </c>
      <c r="J11" t="str">
        <f t="shared" si="0"/>
        <v>Pending</v>
      </c>
      <c r="K11" s="1"/>
    </row>
    <row r="12" spans="1:11" ht="86.1" customHeight="1">
      <c r="A12" t="s">
        <v>36</v>
      </c>
      <c r="B12" t="s">
        <v>14</v>
      </c>
      <c r="C12" t="s">
        <v>37</v>
      </c>
      <c r="D12" t="s">
        <v>16</v>
      </c>
      <c r="E12" s="6" t="s">
        <v>38</v>
      </c>
      <c r="F12">
        <v>3</v>
      </c>
      <c r="G12">
        <f>COUNT('Criterion review'!G20:G22)</f>
        <v>0</v>
      </c>
      <c r="H12">
        <f>SUM('Criterion review'!G20:G22)</f>
        <v>0</v>
      </c>
      <c r="I12" s="1">
        <v>1</v>
      </c>
      <c r="J12" t="str">
        <f t="shared" si="0"/>
        <v>Pending</v>
      </c>
      <c r="K12" s="1"/>
    </row>
    <row r="13" spans="1:11" ht="86.1" customHeight="1">
      <c r="A13" t="s">
        <v>39</v>
      </c>
      <c r="B13" t="s">
        <v>14</v>
      </c>
      <c r="C13" t="s">
        <v>40</v>
      </c>
      <c r="D13" t="s">
        <v>16</v>
      </c>
      <c r="E13" s="6" t="s">
        <v>35</v>
      </c>
      <c r="F13">
        <v>2</v>
      </c>
      <c r="G13">
        <f>COUNT('Criterion review'!G23:G24)</f>
        <v>0</v>
      </c>
      <c r="H13">
        <f>SUM('Criterion review'!G23:G24)</f>
        <v>0</v>
      </c>
      <c r="I13" s="1">
        <v>0</v>
      </c>
      <c r="J13" t="str">
        <f t="shared" si="0"/>
        <v>Pending</v>
      </c>
      <c r="K13" s="1"/>
    </row>
    <row r="14" spans="1:11" ht="86.1" customHeight="1">
      <c r="A14" t="s">
        <v>41</v>
      </c>
      <c r="B14" t="s">
        <v>14</v>
      </c>
      <c r="C14" t="s">
        <v>42</v>
      </c>
      <c r="D14" t="s">
        <v>16</v>
      </c>
      <c r="E14" s="6" t="s">
        <v>43</v>
      </c>
      <c r="F14">
        <v>3</v>
      </c>
      <c r="G14">
        <f>COUNT('Criterion review'!G25:G27)</f>
        <v>0</v>
      </c>
      <c r="H14">
        <f>SUM('Criterion review'!G25:G27)</f>
        <v>0</v>
      </c>
      <c r="I14" s="1">
        <v>1</v>
      </c>
      <c r="J14" t="str">
        <f t="shared" si="0"/>
        <v>Pending</v>
      </c>
      <c r="K14" s="1"/>
    </row>
    <row r="15" spans="1:11" ht="86.1" customHeight="1">
      <c r="A15" t="s">
        <v>44</v>
      </c>
      <c r="B15" t="s">
        <v>14</v>
      </c>
      <c r="C15" t="s">
        <v>45</v>
      </c>
      <c r="D15" t="s">
        <v>16</v>
      </c>
      <c r="E15" s="6" t="s">
        <v>35</v>
      </c>
      <c r="F15">
        <v>2</v>
      </c>
      <c r="G15">
        <f>COUNT('Criterion review'!G28:G29)</f>
        <v>0</v>
      </c>
      <c r="H15">
        <f>SUM('Criterion review'!G28:G29)</f>
        <v>0</v>
      </c>
      <c r="I15" s="1"/>
      <c r="J15" t="str">
        <f t="shared" si="0"/>
        <v>Pending</v>
      </c>
      <c r="K15" s="1"/>
    </row>
    <row r="16" spans="1:11" ht="86.1" customHeight="1">
      <c r="A16" t="s">
        <v>46</v>
      </c>
      <c r="B16" t="s">
        <v>14</v>
      </c>
      <c r="C16" t="s">
        <v>47</v>
      </c>
      <c r="D16" t="s">
        <v>16</v>
      </c>
      <c r="E16" s="6" t="s">
        <v>48</v>
      </c>
      <c r="F16">
        <v>2</v>
      </c>
      <c r="G16">
        <f>COUNT('Criterion review'!G30:G31)</f>
        <v>0</v>
      </c>
      <c r="H16">
        <f>SUM('Criterion review'!G30:G31)</f>
        <v>0</v>
      </c>
      <c r="I16" s="1">
        <v>0</v>
      </c>
      <c r="J16" t="str">
        <f t="shared" si="0"/>
        <v>Pending</v>
      </c>
      <c r="K16" s="1"/>
    </row>
    <row r="17" spans="1:11" ht="86.1" customHeight="1">
      <c r="A17" t="s">
        <v>49</v>
      </c>
      <c r="B17" t="s">
        <v>14</v>
      </c>
      <c r="C17" t="s">
        <v>50</v>
      </c>
      <c r="D17" t="s">
        <v>16</v>
      </c>
      <c r="E17" s="6" t="s">
        <v>51</v>
      </c>
      <c r="F17">
        <v>2</v>
      </c>
      <c r="G17">
        <f>COUNT('Criterion review'!G32:G33)</f>
        <v>0</v>
      </c>
      <c r="H17">
        <f>SUM('Criterion review'!G32:G33)</f>
        <v>0</v>
      </c>
      <c r="I17" s="1">
        <v>1</v>
      </c>
      <c r="J17" t="str">
        <f t="shared" si="0"/>
        <v>Pending</v>
      </c>
      <c r="K17" s="1"/>
    </row>
    <row r="18" spans="1:11" ht="86.1" customHeight="1">
      <c r="A18" t="s">
        <v>52</v>
      </c>
      <c r="B18" t="s">
        <v>14</v>
      </c>
      <c r="C18" t="s">
        <v>53</v>
      </c>
      <c r="D18" t="s">
        <v>16</v>
      </c>
      <c r="E18" s="6" t="s">
        <v>54</v>
      </c>
      <c r="F18">
        <v>2</v>
      </c>
      <c r="G18">
        <f>COUNT('Criterion review'!G34:G35)</f>
        <v>0</v>
      </c>
      <c r="H18">
        <f>SUM('Criterion review'!G34:G35)</f>
        <v>0</v>
      </c>
      <c r="I18" s="1">
        <v>0</v>
      </c>
      <c r="J18" t="str">
        <f t="shared" si="0"/>
        <v>Pending</v>
      </c>
      <c r="K18" s="1"/>
    </row>
    <row r="19" spans="1:11" ht="86.1" customHeight="1">
      <c r="A19" t="s">
        <v>55</v>
      </c>
      <c r="B19" t="s">
        <v>14</v>
      </c>
      <c r="C19" t="s">
        <v>56</v>
      </c>
      <c r="D19" t="s">
        <v>16</v>
      </c>
      <c r="E19" s="6" t="s">
        <v>35</v>
      </c>
      <c r="F19">
        <v>2</v>
      </c>
      <c r="G19">
        <f>COUNT('Criterion review'!G36:G37)</f>
        <v>0</v>
      </c>
      <c r="H19">
        <f>SUM('Criterion review'!G36:G37)</f>
        <v>0</v>
      </c>
      <c r="I19" s="1">
        <v>1</v>
      </c>
      <c r="J19" t="str">
        <f t="shared" si="0"/>
        <v>Pending</v>
      </c>
      <c r="K19" s="1"/>
    </row>
    <row r="20" spans="1:11" ht="86.1" customHeight="1">
      <c r="A20" t="s">
        <v>57</v>
      </c>
      <c r="B20" t="s">
        <v>14</v>
      </c>
      <c r="C20" t="s">
        <v>58</v>
      </c>
      <c r="D20" t="s">
        <v>16</v>
      </c>
      <c r="E20" s="6" t="s">
        <v>59</v>
      </c>
      <c r="F20">
        <v>2</v>
      </c>
      <c r="G20">
        <f>COUNT('Criterion review'!G38:G39)</f>
        <v>0</v>
      </c>
      <c r="H20">
        <f>SUM('Criterion review'!G38:G39)</f>
        <v>0</v>
      </c>
      <c r="I20" s="1">
        <v>0</v>
      </c>
      <c r="J20" t="str">
        <f t="shared" si="0"/>
        <v>Pending</v>
      </c>
      <c r="K20" s="1"/>
    </row>
    <row r="21" spans="1:11" ht="86.1" customHeight="1">
      <c r="A21" t="s">
        <v>60</v>
      </c>
      <c r="B21" t="s">
        <v>14</v>
      </c>
      <c r="C21" t="s">
        <v>61</v>
      </c>
      <c r="D21" t="s">
        <v>16</v>
      </c>
      <c r="E21" s="6" t="s">
        <v>62</v>
      </c>
      <c r="F21">
        <v>2</v>
      </c>
      <c r="G21">
        <f>COUNT('Criterion review'!G40:G41)</f>
        <v>0</v>
      </c>
      <c r="H21">
        <f>SUM('Criterion review'!G40:G41)</f>
        <v>0</v>
      </c>
      <c r="I21" s="1">
        <v>1</v>
      </c>
      <c r="J21" t="str">
        <f t="shared" si="0"/>
        <v>Pending</v>
      </c>
      <c r="K21" s="1"/>
    </row>
    <row r="22" spans="1:11" ht="86.1" customHeight="1">
      <c r="A22" t="s">
        <v>63</v>
      </c>
      <c r="B22" t="s">
        <v>14</v>
      </c>
      <c r="C22" t="s">
        <v>64</v>
      </c>
      <c r="D22" t="s">
        <v>16</v>
      </c>
      <c r="E22" s="6" t="s">
        <v>65</v>
      </c>
      <c r="F22">
        <v>2</v>
      </c>
      <c r="G22">
        <f>COUNT('Criterion review'!G42:G43)</f>
        <v>0</v>
      </c>
      <c r="H22">
        <f>SUM('Criterion review'!G42:G43)</f>
        <v>0</v>
      </c>
      <c r="I22" s="1">
        <v>0</v>
      </c>
      <c r="J22" t="str">
        <f t="shared" si="0"/>
        <v>Pending</v>
      </c>
      <c r="K22" s="1"/>
    </row>
    <row r="23" spans="1:11" ht="86.1" customHeight="1">
      <c r="A23" t="s">
        <v>66</v>
      </c>
      <c r="B23" t="s">
        <v>14</v>
      </c>
      <c r="C23" t="s">
        <v>67</v>
      </c>
      <c r="D23" t="s">
        <v>16</v>
      </c>
      <c r="E23" s="6" t="s">
        <v>35</v>
      </c>
      <c r="F23">
        <v>2</v>
      </c>
      <c r="G23">
        <f>COUNT('Criterion review'!G44:G45)</f>
        <v>0</v>
      </c>
      <c r="H23">
        <f>SUM('Criterion review'!G44:G45)</f>
        <v>0</v>
      </c>
      <c r="I23" s="1">
        <v>1</v>
      </c>
      <c r="J23" t="str">
        <f t="shared" si="0"/>
        <v>Pending</v>
      </c>
      <c r="K23" s="1"/>
    </row>
    <row r="24" spans="1:11" ht="86.1" customHeight="1">
      <c r="A24" t="s">
        <v>68</v>
      </c>
      <c r="B24" t="s">
        <v>14</v>
      </c>
      <c r="C24" t="s">
        <v>69</v>
      </c>
      <c r="D24" t="s">
        <v>16</v>
      </c>
      <c r="E24" s="6" t="s">
        <v>35</v>
      </c>
      <c r="F24">
        <v>2</v>
      </c>
      <c r="G24">
        <f>COUNT('Criterion review'!G46:G47)</f>
        <v>0</v>
      </c>
      <c r="H24">
        <f>SUM('Criterion review'!G46:G47)</f>
        <v>0</v>
      </c>
      <c r="I24" s="1">
        <v>0</v>
      </c>
      <c r="J24" t="str">
        <f t="shared" si="0"/>
        <v>Pending</v>
      </c>
      <c r="K24" s="1"/>
    </row>
    <row r="25" spans="1:11" ht="86.1" customHeight="1">
      <c r="A25" t="s">
        <v>70</v>
      </c>
      <c r="B25" t="s">
        <v>14</v>
      </c>
      <c r="C25" t="s">
        <v>71</v>
      </c>
      <c r="D25" t="s">
        <v>16</v>
      </c>
      <c r="E25" s="6" t="s">
        <v>35</v>
      </c>
      <c r="F25">
        <v>3</v>
      </c>
      <c r="G25">
        <f>COUNT('Criterion review'!G48:G50)</f>
        <v>0</v>
      </c>
      <c r="H25">
        <f>SUM('Criterion review'!G48:G50)</f>
        <v>0</v>
      </c>
      <c r="I25" s="1">
        <v>0</v>
      </c>
      <c r="J25" t="str">
        <f t="shared" si="0"/>
        <v>Pending</v>
      </c>
      <c r="K25" s="1"/>
    </row>
    <row r="26" spans="1:11" ht="86.1" customHeight="1">
      <c r="A26" t="s">
        <v>72</v>
      </c>
      <c r="B26" t="s">
        <v>14</v>
      </c>
      <c r="C26" t="s">
        <v>73</v>
      </c>
      <c r="D26" t="s">
        <v>16</v>
      </c>
      <c r="E26" s="6" t="s">
        <v>35</v>
      </c>
      <c r="F26">
        <v>3</v>
      </c>
      <c r="G26">
        <f>COUNT('Criterion review'!G51:G53)</f>
        <v>0</v>
      </c>
      <c r="H26">
        <f>SUM('Criterion review'!G51:G53)</f>
        <v>0</v>
      </c>
      <c r="I26" s="1">
        <v>0</v>
      </c>
      <c r="J26" t="str">
        <f t="shared" si="0"/>
        <v>Pending</v>
      </c>
      <c r="K26" s="1"/>
    </row>
    <row r="27" spans="1:11" ht="86.1" customHeight="1">
      <c r="A27" t="s">
        <v>74</v>
      </c>
      <c r="B27" t="s">
        <v>14</v>
      </c>
      <c r="C27" t="s">
        <v>75</v>
      </c>
      <c r="D27" t="s">
        <v>16</v>
      </c>
      <c r="E27" s="6" t="s">
        <v>35</v>
      </c>
      <c r="F27">
        <v>2</v>
      </c>
      <c r="G27">
        <f>COUNT('Criterion review'!G54:G55)</f>
        <v>0</v>
      </c>
      <c r="H27">
        <f>SUM('Criterion review'!G54:G55)</f>
        <v>0</v>
      </c>
      <c r="I27" s="1"/>
      <c r="J27" t="str">
        <f t="shared" si="0"/>
        <v>Pending</v>
      </c>
      <c r="K27" s="1"/>
    </row>
    <row r="28" spans="1:11" ht="86.1" customHeight="1">
      <c r="A28" t="s">
        <v>76</v>
      </c>
      <c r="B28" t="s">
        <v>14</v>
      </c>
      <c r="C28" t="s">
        <v>77</v>
      </c>
      <c r="D28" t="s">
        <v>16</v>
      </c>
      <c r="E28" s="6" t="s">
        <v>35</v>
      </c>
      <c r="F28">
        <v>2</v>
      </c>
      <c r="G28">
        <f>COUNT('Criterion review'!G56:G57)</f>
        <v>0</v>
      </c>
      <c r="H28">
        <f>SUM('Criterion review'!G56:G57)</f>
        <v>0</v>
      </c>
      <c r="I28" s="1">
        <v>0</v>
      </c>
      <c r="J28" t="str">
        <f t="shared" si="0"/>
        <v>Pending</v>
      </c>
      <c r="K28" s="1"/>
    </row>
    <row r="29" spans="1:11" ht="86.1" customHeight="1">
      <c r="A29" t="s">
        <v>78</v>
      </c>
      <c r="B29" t="s">
        <v>14</v>
      </c>
      <c r="C29" t="s">
        <v>79</v>
      </c>
      <c r="D29" t="s">
        <v>16</v>
      </c>
      <c r="E29" s="6" t="s">
        <v>35</v>
      </c>
      <c r="F29">
        <v>1</v>
      </c>
      <c r="G29">
        <f>COUNT('Criterion review'!G58:G58)</f>
        <v>0</v>
      </c>
      <c r="H29">
        <f>SUM('Criterion review'!G58:G58)</f>
        <v>0</v>
      </c>
      <c r="I29" s="1">
        <v>0</v>
      </c>
      <c r="J29" t="str">
        <f t="shared" si="0"/>
        <v>Pending</v>
      </c>
      <c r="K29" s="1"/>
    </row>
    <row r="30" spans="1:11" ht="86.1" customHeight="1">
      <c r="A30" t="s">
        <v>80</v>
      </c>
      <c r="B30" t="s">
        <v>14</v>
      </c>
      <c r="C30" t="s">
        <v>81</v>
      </c>
      <c r="D30" t="s">
        <v>16</v>
      </c>
      <c r="E30" s="6" t="s">
        <v>35</v>
      </c>
      <c r="F30">
        <v>2</v>
      </c>
      <c r="G30">
        <f>COUNT('Criterion review'!G59:G60)</f>
        <v>0</v>
      </c>
      <c r="H30">
        <f>SUM('Criterion review'!G59:G60)</f>
        <v>0</v>
      </c>
      <c r="I30" s="1"/>
      <c r="J30" t="str">
        <f t="shared" si="0"/>
        <v>Pending</v>
      </c>
      <c r="K30" s="1"/>
    </row>
    <row r="31" spans="1:11" ht="86.1" customHeight="1">
      <c r="A31" t="s">
        <v>82</v>
      </c>
      <c r="B31" t="s">
        <v>14</v>
      </c>
      <c r="C31" t="s">
        <v>83</v>
      </c>
      <c r="D31" t="s">
        <v>16</v>
      </c>
      <c r="E31" s="6" t="s">
        <v>35</v>
      </c>
      <c r="F31">
        <v>2</v>
      </c>
      <c r="G31">
        <f>COUNT('Criterion review'!G61:G62)</f>
        <v>0</v>
      </c>
      <c r="H31">
        <f>SUM('Criterion review'!G61:G62)</f>
        <v>0</v>
      </c>
      <c r="I31" s="1">
        <v>0</v>
      </c>
      <c r="J31" t="str">
        <f t="shared" si="0"/>
        <v>Pending</v>
      </c>
      <c r="K31" s="1"/>
    </row>
    <row r="32" spans="1:11" ht="86.1" customHeight="1">
      <c r="A32" t="s">
        <v>84</v>
      </c>
      <c r="B32" t="s">
        <v>14</v>
      </c>
      <c r="C32" t="s">
        <v>85</v>
      </c>
      <c r="D32" t="s">
        <v>16</v>
      </c>
      <c r="E32" s="6" t="s">
        <v>35</v>
      </c>
      <c r="F32">
        <v>2</v>
      </c>
      <c r="G32">
        <f>COUNT('Criterion review'!G63:G64)</f>
        <v>0</v>
      </c>
      <c r="H32">
        <f>SUM('Criterion review'!G63:G64)</f>
        <v>0</v>
      </c>
      <c r="I32" s="1">
        <v>0</v>
      </c>
      <c r="J32" t="str">
        <f t="shared" si="0"/>
        <v>Pending</v>
      </c>
      <c r="K32" s="1"/>
    </row>
    <row r="33" spans="1:11" ht="86.1" customHeight="1">
      <c r="A33" t="s">
        <v>86</v>
      </c>
      <c r="B33" t="s">
        <v>14</v>
      </c>
      <c r="C33" t="s">
        <v>87</v>
      </c>
      <c r="D33" t="s">
        <v>16</v>
      </c>
      <c r="E33" s="6" t="s">
        <v>35</v>
      </c>
      <c r="F33">
        <v>2</v>
      </c>
      <c r="G33">
        <f>COUNT('Criterion review'!G65:G66)</f>
        <v>0</v>
      </c>
      <c r="H33">
        <f>SUM('Criterion review'!G65:G66)</f>
        <v>0</v>
      </c>
      <c r="I33" s="1">
        <v>0</v>
      </c>
      <c r="J33" t="str">
        <f t="shared" si="0"/>
        <v>Pending</v>
      </c>
      <c r="K33" s="1"/>
    </row>
    <row r="34" spans="1:11" ht="86.1" customHeight="1">
      <c r="A34" t="s">
        <v>88</v>
      </c>
      <c r="B34" t="s">
        <v>14</v>
      </c>
      <c r="C34" t="s">
        <v>89</v>
      </c>
      <c r="D34" t="s">
        <v>16</v>
      </c>
      <c r="E34" s="6" t="s">
        <v>35</v>
      </c>
      <c r="F34">
        <v>1</v>
      </c>
      <c r="G34">
        <f>COUNT('Criterion review'!G67:G67)</f>
        <v>0</v>
      </c>
      <c r="H34">
        <f>SUM('Criterion review'!G67:G67)</f>
        <v>0</v>
      </c>
      <c r="I34" s="1">
        <v>0</v>
      </c>
      <c r="J34" t="str">
        <f t="shared" si="0"/>
        <v>Pending</v>
      </c>
      <c r="K34" s="1"/>
    </row>
    <row r="35" spans="1:11" ht="86.1" customHeight="1">
      <c r="A35" t="s">
        <v>90</v>
      </c>
      <c r="B35" t="s">
        <v>14</v>
      </c>
      <c r="C35" t="s">
        <v>15</v>
      </c>
      <c r="D35" t="s">
        <v>91</v>
      </c>
      <c r="E35" s="6"/>
      <c r="F35">
        <v>2</v>
      </c>
      <c r="G35">
        <f>COUNT('Criterion review'!G68:G69)</f>
        <v>0</v>
      </c>
      <c r="H35">
        <f>SUM('Criterion review'!G68:G69)</f>
        <v>0</v>
      </c>
      <c r="I35" s="1">
        <v>1</v>
      </c>
      <c r="J35" t="str">
        <f t="shared" si="0"/>
        <v>Pending</v>
      </c>
      <c r="K35" s="1" t="s">
        <v>92</v>
      </c>
    </row>
    <row r="36" spans="1:11" ht="86.1" customHeight="1">
      <c r="A36" t="s">
        <v>93</v>
      </c>
      <c r="B36" t="s">
        <v>14</v>
      </c>
      <c r="C36" t="s">
        <v>19</v>
      </c>
      <c r="D36" t="s">
        <v>91</v>
      </c>
      <c r="E36" s="6" t="s">
        <v>94</v>
      </c>
      <c r="F36">
        <v>2</v>
      </c>
      <c r="G36">
        <f>COUNT('Criterion review'!G70:G71)</f>
        <v>0</v>
      </c>
      <c r="H36">
        <f>SUM('Criterion review'!G70:G71)</f>
        <v>0</v>
      </c>
      <c r="I36" s="1">
        <v>0</v>
      </c>
      <c r="J36" t="str">
        <f t="shared" si="0"/>
        <v>Pending</v>
      </c>
      <c r="K36" s="1"/>
    </row>
    <row r="37" spans="1:11" ht="86.1" customHeight="1">
      <c r="A37" t="s">
        <v>95</v>
      </c>
      <c r="B37" t="s">
        <v>14</v>
      </c>
      <c r="C37" t="s">
        <v>22</v>
      </c>
      <c r="D37" t="s">
        <v>91</v>
      </c>
      <c r="E37" s="6" t="s">
        <v>96</v>
      </c>
      <c r="F37">
        <v>2</v>
      </c>
      <c r="G37">
        <f>COUNT('Criterion review'!G72:G73)</f>
        <v>0</v>
      </c>
      <c r="H37">
        <f>SUM('Criterion review'!G72:G73)</f>
        <v>0</v>
      </c>
      <c r="I37" s="1">
        <v>0</v>
      </c>
      <c r="J37" t="str">
        <f t="shared" ref="J37:J68" si="1">IF(OR(G37&lt;F37,COUNT(I37)=0),"Pending",IF(AND(H37=F37,I37=0),"Correct","Incorrect"))</f>
        <v>Pending</v>
      </c>
      <c r="K37" s="1"/>
    </row>
    <row r="38" spans="1:11" ht="86.1" customHeight="1">
      <c r="A38" t="s">
        <v>97</v>
      </c>
      <c r="B38" t="s">
        <v>14</v>
      </c>
      <c r="C38" t="s">
        <v>25</v>
      </c>
      <c r="D38" t="s">
        <v>91</v>
      </c>
      <c r="E38" s="6" t="s">
        <v>98</v>
      </c>
      <c r="F38">
        <v>3</v>
      </c>
      <c r="G38">
        <f>COUNT('Criterion review'!G74:G76)</f>
        <v>0</v>
      </c>
      <c r="H38">
        <f>SUM('Criterion review'!G74:G76)</f>
        <v>0</v>
      </c>
      <c r="I38" s="1">
        <v>0</v>
      </c>
      <c r="J38" t="str">
        <f t="shared" si="1"/>
        <v>Pending</v>
      </c>
      <c r="K38" s="1"/>
    </row>
    <row r="39" spans="1:11" ht="86.1" customHeight="1">
      <c r="A39" t="s">
        <v>99</v>
      </c>
      <c r="B39" t="s">
        <v>14</v>
      </c>
      <c r="C39" t="s">
        <v>28</v>
      </c>
      <c r="D39" t="s">
        <v>91</v>
      </c>
      <c r="E39" s="6" t="s">
        <v>100</v>
      </c>
      <c r="F39">
        <v>2</v>
      </c>
      <c r="G39">
        <f>COUNT('Criterion review'!G77:G78)</f>
        <v>0</v>
      </c>
      <c r="H39">
        <f>SUM('Criterion review'!G77:G78)</f>
        <v>0</v>
      </c>
      <c r="I39" s="1">
        <v>0</v>
      </c>
      <c r="J39" t="str">
        <f t="shared" si="1"/>
        <v>Pending</v>
      </c>
      <c r="K39" s="1"/>
    </row>
    <row r="40" spans="1:11" ht="86.1" customHeight="1">
      <c r="A40" t="s">
        <v>101</v>
      </c>
      <c r="B40" t="s">
        <v>14</v>
      </c>
      <c r="C40" t="s">
        <v>31</v>
      </c>
      <c r="D40" t="s">
        <v>91</v>
      </c>
      <c r="E40" s="6" t="s">
        <v>102</v>
      </c>
      <c r="F40">
        <v>2</v>
      </c>
      <c r="G40">
        <f>COUNT('Criterion review'!G79:G80)</f>
        <v>0</v>
      </c>
      <c r="H40">
        <f>SUM('Criterion review'!G79:G80)</f>
        <v>0</v>
      </c>
      <c r="I40" s="1">
        <v>0</v>
      </c>
      <c r="J40" t="str">
        <f t="shared" si="1"/>
        <v>Pending</v>
      </c>
      <c r="K40" s="1"/>
    </row>
    <row r="41" spans="1:11" ht="86.1" customHeight="1">
      <c r="A41" t="s">
        <v>103</v>
      </c>
      <c r="B41" t="s">
        <v>14</v>
      </c>
      <c r="C41" t="s">
        <v>34</v>
      </c>
      <c r="D41" t="s">
        <v>91</v>
      </c>
      <c r="E41" s="6" t="s">
        <v>104</v>
      </c>
      <c r="F41">
        <v>2</v>
      </c>
      <c r="G41">
        <f>COUNT('Criterion review'!G81:G82)</f>
        <v>0</v>
      </c>
      <c r="H41">
        <f>SUM('Criterion review'!G81:G82)</f>
        <v>0</v>
      </c>
      <c r="I41" s="1">
        <v>1</v>
      </c>
      <c r="J41" t="str">
        <f t="shared" si="1"/>
        <v>Pending</v>
      </c>
      <c r="K41" s="1"/>
    </row>
    <row r="42" spans="1:11" ht="86.1" customHeight="1">
      <c r="A42" t="s">
        <v>105</v>
      </c>
      <c r="B42" t="s">
        <v>14</v>
      </c>
      <c r="C42" t="s">
        <v>37</v>
      </c>
      <c r="D42" t="s">
        <v>91</v>
      </c>
      <c r="E42" s="6" t="s">
        <v>106</v>
      </c>
      <c r="F42">
        <v>3</v>
      </c>
      <c r="G42">
        <f>COUNT('Criterion review'!G83:G85)</f>
        <v>0</v>
      </c>
      <c r="H42">
        <f>SUM('Criterion review'!G83:G85)</f>
        <v>0</v>
      </c>
      <c r="I42" s="1">
        <v>0</v>
      </c>
      <c r="J42" t="str">
        <f t="shared" si="1"/>
        <v>Pending</v>
      </c>
      <c r="K42" s="1"/>
    </row>
    <row r="43" spans="1:11" ht="86.1" customHeight="1">
      <c r="A43" t="s">
        <v>107</v>
      </c>
      <c r="B43" t="s">
        <v>14</v>
      </c>
      <c r="C43" t="s">
        <v>40</v>
      </c>
      <c r="D43" t="s">
        <v>91</v>
      </c>
      <c r="E43" s="6" t="s">
        <v>108</v>
      </c>
      <c r="F43">
        <v>2</v>
      </c>
      <c r="G43">
        <f>COUNT('Criterion review'!G86:G87)</f>
        <v>0</v>
      </c>
      <c r="H43">
        <f>SUM('Criterion review'!G86:G87)</f>
        <v>0</v>
      </c>
      <c r="I43" s="1">
        <v>0</v>
      </c>
      <c r="J43" t="str">
        <f t="shared" si="1"/>
        <v>Pending</v>
      </c>
      <c r="K43" s="1"/>
    </row>
    <row r="44" spans="1:11" ht="86.1" customHeight="1">
      <c r="A44" t="s">
        <v>109</v>
      </c>
      <c r="B44" t="s">
        <v>14</v>
      </c>
      <c r="C44" t="s">
        <v>42</v>
      </c>
      <c r="D44" t="s">
        <v>91</v>
      </c>
      <c r="E44" s="6" t="s">
        <v>110</v>
      </c>
      <c r="F44">
        <v>3</v>
      </c>
      <c r="G44">
        <f>COUNT('Criterion review'!G88:G90)</f>
        <v>0</v>
      </c>
      <c r="H44">
        <f>SUM('Criterion review'!G88:G90)</f>
        <v>0</v>
      </c>
      <c r="I44" s="1">
        <v>0</v>
      </c>
      <c r="J44" t="str">
        <f t="shared" si="1"/>
        <v>Pending</v>
      </c>
      <c r="K44" s="1"/>
    </row>
    <row r="45" spans="1:11" ht="86.1" customHeight="1">
      <c r="A45" t="s">
        <v>111</v>
      </c>
      <c r="B45" t="s">
        <v>14</v>
      </c>
      <c r="C45" t="s">
        <v>45</v>
      </c>
      <c r="D45" t="s">
        <v>91</v>
      </c>
      <c r="E45" s="6" t="s">
        <v>112</v>
      </c>
      <c r="F45">
        <v>2</v>
      </c>
      <c r="G45">
        <f>COUNT('Criterion review'!G91:G92)</f>
        <v>0</v>
      </c>
      <c r="H45">
        <f>SUM('Criterion review'!G91:G92)</f>
        <v>0</v>
      </c>
      <c r="I45" s="1">
        <v>0</v>
      </c>
      <c r="J45" t="str">
        <f t="shared" si="1"/>
        <v>Pending</v>
      </c>
      <c r="K45" s="1"/>
    </row>
    <row r="46" spans="1:11" ht="86.1" customHeight="1">
      <c r="A46" t="s">
        <v>113</v>
      </c>
      <c r="B46" t="s">
        <v>14</v>
      </c>
      <c r="C46" t="s">
        <v>47</v>
      </c>
      <c r="D46" t="s">
        <v>91</v>
      </c>
      <c r="E46" s="6" t="s">
        <v>114</v>
      </c>
      <c r="F46">
        <v>2</v>
      </c>
      <c r="G46">
        <f>COUNT('Criterion review'!G93:G94)</f>
        <v>0</v>
      </c>
      <c r="H46">
        <f>SUM('Criterion review'!G93:G94)</f>
        <v>0</v>
      </c>
      <c r="I46" s="1">
        <v>0</v>
      </c>
      <c r="J46" t="str">
        <f t="shared" si="1"/>
        <v>Pending</v>
      </c>
      <c r="K46" s="1"/>
    </row>
    <row r="47" spans="1:11" ht="86.1" customHeight="1">
      <c r="A47" t="s">
        <v>115</v>
      </c>
      <c r="B47" t="s">
        <v>14</v>
      </c>
      <c r="C47" t="s">
        <v>50</v>
      </c>
      <c r="D47" t="s">
        <v>91</v>
      </c>
      <c r="E47" s="6" t="s">
        <v>116</v>
      </c>
      <c r="F47">
        <v>2</v>
      </c>
      <c r="G47">
        <f>COUNT('Criterion review'!G95:G96)</f>
        <v>0</v>
      </c>
      <c r="H47">
        <f>SUM('Criterion review'!G95:G96)</f>
        <v>0</v>
      </c>
      <c r="I47" s="1">
        <v>0</v>
      </c>
      <c r="J47" t="str">
        <f t="shared" si="1"/>
        <v>Pending</v>
      </c>
      <c r="K47" s="1"/>
    </row>
    <row r="48" spans="1:11" ht="86.1" customHeight="1">
      <c r="A48" t="s">
        <v>117</v>
      </c>
      <c r="B48" t="s">
        <v>14</v>
      </c>
      <c r="C48" t="s">
        <v>53</v>
      </c>
      <c r="D48" t="s">
        <v>91</v>
      </c>
      <c r="E48" s="6" t="s">
        <v>118</v>
      </c>
      <c r="F48">
        <v>2</v>
      </c>
      <c r="G48">
        <f>COUNT('Criterion review'!G97:G98)</f>
        <v>0</v>
      </c>
      <c r="H48">
        <f>SUM('Criterion review'!G97:G98)</f>
        <v>0</v>
      </c>
      <c r="I48" s="1">
        <v>0</v>
      </c>
      <c r="J48" t="str">
        <f t="shared" si="1"/>
        <v>Pending</v>
      </c>
      <c r="K48" s="1"/>
    </row>
    <row r="49" spans="1:11" ht="86.1" customHeight="1">
      <c r="A49" t="s">
        <v>119</v>
      </c>
      <c r="B49" t="s">
        <v>14</v>
      </c>
      <c r="C49" t="s">
        <v>56</v>
      </c>
      <c r="D49" t="s">
        <v>91</v>
      </c>
      <c r="E49" s="6"/>
      <c r="F49">
        <v>2</v>
      </c>
      <c r="G49">
        <f>COUNT('Criterion review'!G99:G100)</f>
        <v>0</v>
      </c>
      <c r="H49">
        <f>SUM('Criterion review'!G99:G100)</f>
        <v>0</v>
      </c>
      <c r="I49" s="1">
        <v>0</v>
      </c>
      <c r="J49" t="str">
        <f t="shared" si="1"/>
        <v>Pending</v>
      </c>
      <c r="K49" s="1" t="s">
        <v>92</v>
      </c>
    </row>
    <row r="50" spans="1:11" ht="86.1" customHeight="1">
      <c r="A50" t="s">
        <v>120</v>
      </c>
      <c r="B50" t="s">
        <v>14</v>
      </c>
      <c r="C50" t="s">
        <v>58</v>
      </c>
      <c r="D50" t="s">
        <v>91</v>
      </c>
      <c r="E50" s="6" t="s">
        <v>121</v>
      </c>
      <c r="F50">
        <v>2</v>
      </c>
      <c r="G50">
        <f>COUNT('Criterion review'!G101:G102)</f>
        <v>0</v>
      </c>
      <c r="H50">
        <f>SUM('Criterion review'!G101:G102)</f>
        <v>0</v>
      </c>
      <c r="I50" s="1">
        <v>0</v>
      </c>
      <c r="J50" t="str">
        <f t="shared" si="1"/>
        <v>Pending</v>
      </c>
      <c r="K50" s="1"/>
    </row>
    <row r="51" spans="1:11" ht="86.1" customHeight="1">
      <c r="A51" t="s">
        <v>122</v>
      </c>
      <c r="B51" t="s">
        <v>14</v>
      </c>
      <c r="C51" t="s">
        <v>61</v>
      </c>
      <c r="D51" t="s">
        <v>91</v>
      </c>
      <c r="E51" s="6" t="s">
        <v>123</v>
      </c>
      <c r="F51">
        <v>2</v>
      </c>
      <c r="G51">
        <f>COUNT('Criterion review'!G103:G104)</f>
        <v>0</v>
      </c>
      <c r="H51">
        <f>SUM('Criterion review'!G103:G104)</f>
        <v>0</v>
      </c>
      <c r="I51" s="1">
        <v>0</v>
      </c>
      <c r="J51" t="str">
        <f t="shared" si="1"/>
        <v>Pending</v>
      </c>
      <c r="K51" s="1"/>
    </row>
    <row r="52" spans="1:11" ht="86.1" customHeight="1">
      <c r="A52" t="s">
        <v>124</v>
      </c>
      <c r="B52" t="s">
        <v>14</v>
      </c>
      <c r="C52" t="s">
        <v>64</v>
      </c>
      <c r="D52" t="s">
        <v>91</v>
      </c>
      <c r="E52" s="6"/>
      <c r="F52">
        <v>2</v>
      </c>
      <c r="G52">
        <f>COUNT('Criterion review'!G105:G106)</f>
        <v>0</v>
      </c>
      <c r="H52">
        <f>SUM('Criterion review'!G105:G106)</f>
        <v>0</v>
      </c>
      <c r="I52" s="1">
        <v>0</v>
      </c>
      <c r="J52" t="str">
        <f t="shared" si="1"/>
        <v>Pending</v>
      </c>
      <c r="K52" s="1" t="s">
        <v>92</v>
      </c>
    </row>
    <row r="53" spans="1:11" ht="86.1" customHeight="1">
      <c r="A53" t="s">
        <v>125</v>
      </c>
      <c r="B53" t="s">
        <v>14</v>
      </c>
      <c r="C53" t="s">
        <v>67</v>
      </c>
      <c r="D53" t="s">
        <v>91</v>
      </c>
      <c r="E53" s="6" t="s">
        <v>126</v>
      </c>
      <c r="F53">
        <v>2</v>
      </c>
      <c r="G53">
        <f>COUNT('Criterion review'!G107:G108)</f>
        <v>0</v>
      </c>
      <c r="H53">
        <f>SUM('Criterion review'!G107:G108)</f>
        <v>0</v>
      </c>
      <c r="I53" s="1">
        <v>0</v>
      </c>
      <c r="J53" t="str">
        <f t="shared" si="1"/>
        <v>Pending</v>
      </c>
      <c r="K53" s="1"/>
    </row>
    <row r="54" spans="1:11" ht="86.1" customHeight="1">
      <c r="A54" t="s">
        <v>127</v>
      </c>
      <c r="B54" t="s">
        <v>14</v>
      </c>
      <c r="C54" t="s">
        <v>69</v>
      </c>
      <c r="D54" t="s">
        <v>91</v>
      </c>
      <c r="E54" s="6" t="s">
        <v>128</v>
      </c>
      <c r="F54">
        <v>2</v>
      </c>
      <c r="G54">
        <f>COUNT('Criterion review'!G109:G110)</f>
        <v>0</v>
      </c>
      <c r="H54">
        <f>SUM('Criterion review'!G109:G110)</f>
        <v>0</v>
      </c>
      <c r="I54" s="1">
        <v>0</v>
      </c>
      <c r="J54" t="str">
        <f t="shared" si="1"/>
        <v>Pending</v>
      </c>
      <c r="K54" s="1"/>
    </row>
    <row r="55" spans="1:11" ht="86.1" customHeight="1">
      <c r="A55" t="s">
        <v>129</v>
      </c>
      <c r="B55" t="s">
        <v>14</v>
      </c>
      <c r="C55" t="s">
        <v>71</v>
      </c>
      <c r="D55" t="s">
        <v>91</v>
      </c>
      <c r="E55" s="6" t="s">
        <v>130</v>
      </c>
      <c r="F55">
        <v>3</v>
      </c>
      <c r="G55">
        <f>COUNT('Criterion review'!G111:G113)</f>
        <v>0</v>
      </c>
      <c r="H55">
        <f>SUM('Criterion review'!G111:G113)</f>
        <v>0</v>
      </c>
      <c r="I55" s="1">
        <v>0</v>
      </c>
      <c r="J55" t="str">
        <f t="shared" si="1"/>
        <v>Pending</v>
      </c>
      <c r="K55" s="1"/>
    </row>
    <row r="56" spans="1:11" ht="86.1" customHeight="1">
      <c r="A56" t="s">
        <v>131</v>
      </c>
      <c r="B56" t="s">
        <v>14</v>
      </c>
      <c r="C56" t="s">
        <v>73</v>
      </c>
      <c r="D56" t="s">
        <v>91</v>
      </c>
      <c r="E56" s="6"/>
      <c r="F56">
        <v>3</v>
      </c>
      <c r="G56">
        <f>COUNT('Criterion review'!G114:G116)</f>
        <v>0</v>
      </c>
      <c r="H56">
        <f>SUM('Criterion review'!G114:G116)</f>
        <v>0</v>
      </c>
      <c r="I56" s="1">
        <v>0</v>
      </c>
      <c r="J56" t="str">
        <f t="shared" si="1"/>
        <v>Pending</v>
      </c>
      <c r="K56" s="1" t="s">
        <v>92</v>
      </c>
    </row>
    <row r="57" spans="1:11" ht="86.1" customHeight="1">
      <c r="A57" t="s">
        <v>132</v>
      </c>
      <c r="B57" t="s">
        <v>14</v>
      </c>
      <c r="C57" t="s">
        <v>75</v>
      </c>
      <c r="D57" t="s">
        <v>91</v>
      </c>
      <c r="E57" s="6" t="s">
        <v>133</v>
      </c>
      <c r="F57">
        <v>2</v>
      </c>
      <c r="G57">
        <f>COUNT('Criterion review'!G117:G118)</f>
        <v>0</v>
      </c>
      <c r="H57">
        <f>SUM('Criterion review'!G117:G118)</f>
        <v>0</v>
      </c>
      <c r="I57" s="1">
        <v>0</v>
      </c>
      <c r="J57" t="str">
        <f t="shared" si="1"/>
        <v>Pending</v>
      </c>
      <c r="K57" s="1"/>
    </row>
    <row r="58" spans="1:11" ht="86.1" customHeight="1">
      <c r="A58" t="s">
        <v>134</v>
      </c>
      <c r="B58" t="s">
        <v>14</v>
      </c>
      <c r="C58" t="s">
        <v>77</v>
      </c>
      <c r="D58" t="s">
        <v>91</v>
      </c>
      <c r="E58" s="6" t="s">
        <v>135</v>
      </c>
      <c r="F58">
        <v>2</v>
      </c>
      <c r="G58">
        <f>COUNT('Criterion review'!G119:G120)</f>
        <v>0</v>
      </c>
      <c r="H58">
        <f>SUM('Criterion review'!G119:G120)</f>
        <v>0</v>
      </c>
      <c r="I58" s="1">
        <v>0</v>
      </c>
      <c r="J58" t="str">
        <f t="shared" si="1"/>
        <v>Pending</v>
      </c>
      <c r="K58" s="1"/>
    </row>
    <row r="59" spans="1:11" ht="86.1" customHeight="1">
      <c r="A59" t="s">
        <v>136</v>
      </c>
      <c r="B59" t="s">
        <v>14</v>
      </c>
      <c r="C59" t="s">
        <v>79</v>
      </c>
      <c r="D59" t="s">
        <v>91</v>
      </c>
      <c r="E59" s="6" t="s">
        <v>137</v>
      </c>
      <c r="F59">
        <v>1</v>
      </c>
      <c r="G59">
        <f>COUNT('Criterion review'!G121:G121)</f>
        <v>0</v>
      </c>
      <c r="H59">
        <f>SUM('Criterion review'!G121:G121)</f>
        <v>0</v>
      </c>
      <c r="I59" s="1">
        <v>0</v>
      </c>
      <c r="J59" t="str">
        <f t="shared" si="1"/>
        <v>Pending</v>
      </c>
      <c r="K59" s="1"/>
    </row>
    <row r="60" spans="1:11" ht="86.1" customHeight="1">
      <c r="A60" t="s">
        <v>138</v>
      </c>
      <c r="B60" t="s">
        <v>14</v>
      </c>
      <c r="C60" t="s">
        <v>81</v>
      </c>
      <c r="D60" t="s">
        <v>91</v>
      </c>
      <c r="E60" s="6"/>
      <c r="F60">
        <v>2</v>
      </c>
      <c r="G60">
        <f>COUNT('Criterion review'!G122:G123)</f>
        <v>0</v>
      </c>
      <c r="H60">
        <f>SUM('Criterion review'!G122:G123)</f>
        <v>0</v>
      </c>
      <c r="I60" s="1">
        <v>0</v>
      </c>
      <c r="J60" t="str">
        <f t="shared" si="1"/>
        <v>Pending</v>
      </c>
      <c r="K60" s="1" t="s">
        <v>92</v>
      </c>
    </row>
    <row r="61" spans="1:11" ht="86.1" customHeight="1">
      <c r="A61" t="s">
        <v>139</v>
      </c>
      <c r="B61" t="s">
        <v>14</v>
      </c>
      <c r="C61" t="s">
        <v>83</v>
      </c>
      <c r="D61" t="s">
        <v>91</v>
      </c>
      <c r="E61" s="6" t="s">
        <v>140</v>
      </c>
      <c r="F61">
        <v>2</v>
      </c>
      <c r="G61">
        <f>COUNT('Criterion review'!G124:G125)</f>
        <v>0</v>
      </c>
      <c r="H61">
        <f>SUM('Criterion review'!G124:G125)</f>
        <v>0</v>
      </c>
      <c r="I61" s="1">
        <v>0</v>
      </c>
      <c r="J61" t="str">
        <f t="shared" si="1"/>
        <v>Pending</v>
      </c>
      <c r="K61" s="1"/>
    </row>
    <row r="62" spans="1:11" ht="86.1" customHeight="1">
      <c r="A62" t="s">
        <v>141</v>
      </c>
      <c r="B62" t="s">
        <v>14</v>
      </c>
      <c r="C62" t="s">
        <v>85</v>
      </c>
      <c r="D62" t="s">
        <v>91</v>
      </c>
      <c r="E62" s="6" t="s">
        <v>142</v>
      </c>
      <c r="F62">
        <v>2</v>
      </c>
      <c r="G62">
        <f>COUNT('Criterion review'!G126:G127)</f>
        <v>0</v>
      </c>
      <c r="H62">
        <f>SUM('Criterion review'!G126:G127)</f>
        <v>0</v>
      </c>
      <c r="I62" s="1">
        <v>0</v>
      </c>
      <c r="J62" t="str">
        <f t="shared" si="1"/>
        <v>Pending</v>
      </c>
      <c r="K62" s="1"/>
    </row>
    <row r="63" spans="1:11" ht="86.1" customHeight="1">
      <c r="A63" t="s">
        <v>143</v>
      </c>
      <c r="B63" t="s">
        <v>14</v>
      </c>
      <c r="C63" t="s">
        <v>87</v>
      </c>
      <c r="D63" t="s">
        <v>91</v>
      </c>
      <c r="E63" s="6" t="s">
        <v>144</v>
      </c>
      <c r="F63">
        <v>2</v>
      </c>
      <c r="G63">
        <f>COUNT('Criterion review'!G128:G129)</f>
        <v>0</v>
      </c>
      <c r="H63">
        <f>SUM('Criterion review'!G128:G129)</f>
        <v>0</v>
      </c>
      <c r="I63" s="1">
        <v>0</v>
      </c>
      <c r="J63" t="str">
        <f t="shared" si="1"/>
        <v>Pending</v>
      </c>
      <c r="K63" s="1"/>
    </row>
    <row r="64" spans="1:11" ht="86.1" customHeight="1">
      <c r="A64" t="s">
        <v>145</v>
      </c>
      <c r="B64" t="s">
        <v>14</v>
      </c>
      <c r="C64" t="s">
        <v>89</v>
      </c>
      <c r="D64" t="s">
        <v>91</v>
      </c>
      <c r="E64" s="6" t="s">
        <v>146</v>
      </c>
      <c r="F64">
        <v>1</v>
      </c>
      <c r="G64">
        <f>COUNT('Criterion review'!G130:G130)</f>
        <v>0</v>
      </c>
      <c r="H64">
        <f>SUM('Criterion review'!G130:G130)</f>
        <v>0</v>
      </c>
      <c r="I64" s="1">
        <v>0</v>
      </c>
      <c r="J64" t="str">
        <f t="shared" si="1"/>
        <v>Pending</v>
      </c>
      <c r="K64" s="1"/>
    </row>
    <row r="65" spans="1:11" ht="86.1" customHeight="1">
      <c r="A65" t="s">
        <v>147</v>
      </c>
      <c r="B65" t="s">
        <v>148</v>
      </c>
      <c r="C65" t="s">
        <v>15</v>
      </c>
      <c r="D65" t="s">
        <v>16</v>
      </c>
      <c r="E65" s="6" t="s">
        <v>149</v>
      </c>
      <c r="F65">
        <v>2</v>
      </c>
      <c r="G65">
        <f>COUNT('Criterion review'!G131:G132)</f>
        <v>0</v>
      </c>
      <c r="H65">
        <f>SUM('Criterion review'!G131:G132)</f>
        <v>0</v>
      </c>
      <c r="I65" s="1">
        <v>0</v>
      </c>
      <c r="J65" t="str">
        <f t="shared" si="1"/>
        <v>Pending</v>
      </c>
      <c r="K65" s="1"/>
    </row>
    <row r="66" spans="1:11" ht="86.1" customHeight="1">
      <c r="A66" t="s">
        <v>150</v>
      </c>
      <c r="B66" t="s">
        <v>148</v>
      </c>
      <c r="C66" t="s">
        <v>19</v>
      </c>
      <c r="D66" t="s">
        <v>16</v>
      </c>
      <c r="E66" s="6" t="s">
        <v>151</v>
      </c>
      <c r="F66">
        <v>2</v>
      </c>
      <c r="G66">
        <f>COUNT('Criterion review'!G133:G134)</f>
        <v>0</v>
      </c>
      <c r="H66">
        <f>SUM('Criterion review'!G133:G134)</f>
        <v>0</v>
      </c>
      <c r="I66" s="1">
        <v>0</v>
      </c>
      <c r="J66" t="str">
        <f t="shared" si="1"/>
        <v>Pending</v>
      </c>
      <c r="K66" s="1"/>
    </row>
    <row r="67" spans="1:11" ht="86.1" customHeight="1">
      <c r="A67" t="s">
        <v>152</v>
      </c>
      <c r="B67" t="s">
        <v>148</v>
      </c>
      <c r="C67" t="s">
        <v>22</v>
      </c>
      <c r="D67" t="s">
        <v>16</v>
      </c>
      <c r="E67" s="6" t="s">
        <v>153</v>
      </c>
      <c r="F67">
        <v>2</v>
      </c>
      <c r="G67">
        <f>COUNT('Criterion review'!G135:G136)</f>
        <v>0</v>
      </c>
      <c r="H67">
        <f>SUM('Criterion review'!G135:G136)</f>
        <v>0</v>
      </c>
      <c r="I67" s="1">
        <v>0</v>
      </c>
      <c r="J67" t="str">
        <f t="shared" si="1"/>
        <v>Pending</v>
      </c>
      <c r="K67" s="1"/>
    </row>
    <row r="68" spans="1:11" ht="86.1" customHeight="1">
      <c r="A68" t="s">
        <v>154</v>
      </c>
      <c r="B68" t="s">
        <v>148</v>
      </c>
      <c r="C68" t="s">
        <v>25</v>
      </c>
      <c r="D68" t="s">
        <v>16</v>
      </c>
      <c r="E68" s="6" t="s">
        <v>155</v>
      </c>
      <c r="F68">
        <v>3</v>
      </c>
      <c r="G68">
        <f>COUNT('Criterion review'!G137:G139)</f>
        <v>0</v>
      </c>
      <c r="H68">
        <f>SUM('Criterion review'!G137:G139)</f>
        <v>0</v>
      </c>
      <c r="I68" s="1">
        <v>1</v>
      </c>
      <c r="J68" t="str">
        <f t="shared" si="1"/>
        <v>Pending</v>
      </c>
      <c r="K68" s="1"/>
    </row>
    <row r="69" spans="1:11" ht="86.1" customHeight="1">
      <c r="A69" t="s">
        <v>156</v>
      </c>
      <c r="B69" t="s">
        <v>148</v>
      </c>
      <c r="C69" t="s">
        <v>28</v>
      </c>
      <c r="D69" t="s">
        <v>16</v>
      </c>
      <c r="E69" s="6" t="s">
        <v>157</v>
      </c>
      <c r="F69">
        <v>2</v>
      </c>
      <c r="G69">
        <f>COUNT('Criterion review'!G140:G141)</f>
        <v>0</v>
      </c>
      <c r="H69">
        <f>SUM('Criterion review'!G140:G141)</f>
        <v>0</v>
      </c>
      <c r="I69" s="1">
        <v>0</v>
      </c>
      <c r="J69" t="str">
        <f t="shared" ref="J69:J100" si="2">IF(OR(G69&lt;F69,COUNT(I69)=0),"Pending",IF(AND(H69=F69,I69=0),"Correct","Incorrect"))</f>
        <v>Pending</v>
      </c>
      <c r="K69" s="1"/>
    </row>
    <row r="70" spans="1:11" ht="86.1" customHeight="1">
      <c r="A70" t="s">
        <v>158</v>
      </c>
      <c r="B70" t="s">
        <v>148</v>
      </c>
      <c r="C70" t="s">
        <v>31</v>
      </c>
      <c r="D70" t="s">
        <v>16</v>
      </c>
      <c r="E70" s="6" t="s">
        <v>159</v>
      </c>
      <c r="F70">
        <v>2</v>
      </c>
      <c r="G70">
        <f>COUNT('Criterion review'!G142:G143)</f>
        <v>0</v>
      </c>
      <c r="H70">
        <f>SUM('Criterion review'!G142:G143)</f>
        <v>0</v>
      </c>
      <c r="I70" s="1">
        <v>0</v>
      </c>
      <c r="J70" t="str">
        <f t="shared" si="2"/>
        <v>Pending</v>
      </c>
      <c r="K70" s="1"/>
    </row>
    <row r="71" spans="1:11" ht="86.1" customHeight="1">
      <c r="A71" t="s">
        <v>160</v>
      </c>
      <c r="B71" t="s">
        <v>148</v>
      </c>
      <c r="C71" t="s">
        <v>34</v>
      </c>
      <c r="D71" t="s">
        <v>16</v>
      </c>
      <c r="E71" s="6" t="s">
        <v>35</v>
      </c>
      <c r="F71">
        <v>2</v>
      </c>
      <c r="G71">
        <f>COUNT('Criterion review'!G144:G145)</f>
        <v>0</v>
      </c>
      <c r="H71">
        <f>SUM('Criterion review'!G144:G145)</f>
        <v>0</v>
      </c>
      <c r="I71" s="2">
        <f>IF(COUNT(I11)=0,"",I11)</f>
        <v>0</v>
      </c>
      <c r="J71" s="2" t="str">
        <f t="shared" si="2"/>
        <v>Pending</v>
      </c>
      <c r="K71" s="2" t="s">
        <v>161</v>
      </c>
    </row>
    <row r="72" spans="1:11" ht="86.1" customHeight="1">
      <c r="A72" t="s">
        <v>162</v>
      </c>
      <c r="B72" t="s">
        <v>148</v>
      </c>
      <c r="C72" t="s">
        <v>37</v>
      </c>
      <c r="D72" t="s">
        <v>16</v>
      </c>
      <c r="E72" s="6" t="s">
        <v>163</v>
      </c>
      <c r="F72">
        <v>3</v>
      </c>
      <c r="G72">
        <f>COUNT('Criterion review'!G146:G148)</f>
        <v>0</v>
      </c>
      <c r="H72">
        <f>SUM('Criterion review'!G146:G148)</f>
        <v>0</v>
      </c>
      <c r="I72" s="1">
        <v>0</v>
      </c>
      <c r="J72" t="str">
        <f t="shared" si="2"/>
        <v>Pending</v>
      </c>
      <c r="K72" s="1"/>
    </row>
    <row r="73" spans="1:11" ht="86.1" customHeight="1">
      <c r="A73" t="s">
        <v>164</v>
      </c>
      <c r="B73" t="s">
        <v>148</v>
      </c>
      <c r="C73" t="s">
        <v>40</v>
      </c>
      <c r="D73" t="s">
        <v>16</v>
      </c>
      <c r="E73" s="6" t="s">
        <v>35</v>
      </c>
      <c r="F73">
        <v>2</v>
      </c>
      <c r="G73">
        <f>COUNT('Criterion review'!G149:G150)</f>
        <v>0</v>
      </c>
      <c r="H73">
        <f>SUM('Criterion review'!G149:G150)</f>
        <v>0</v>
      </c>
      <c r="I73" s="2">
        <f>IF(COUNT(I13)=0,"",I13)</f>
        <v>0</v>
      </c>
      <c r="J73" s="2" t="str">
        <f t="shared" si="2"/>
        <v>Pending</v>
      </c>
      <c r="K73" s="2" t="s">
        <v>165</v>
      </c>
    </row>
    <row r="74" spans="1:11" ht="86.1" customHeight="1">
      <c r="A74" t="s">
        <v>166</v>
      </c>
      <c r="B74" t="s">
        <v>148</v>
      </c>
      <c r="C74" t="s">
        <v>42</v>
      </c>
      <c r="D74" t="s">
        <v>16</v>
      </c>
      <c r="E74" s="6" t="s">
        <v>167</v>
      </c>
      <c r="F74">
        <v>3</v>
      </c>
      <c r="G74">
        <f>COUNT('Criterion review'!G151:G153)</f>
        <v>0</v>
      </c>
      <c r="H74">
        <f>SUM('Criterion review'!G151:G153)</f>
        <v>0</v>
      </c>
      <c r="I74" s="1">
        <v>0</v>
      </c>
      <c r="J74" t="str">
        <f t="shared" si="2"/>
        <v>Pending</v>
      </c>
      <c r="K74" s="1"/>
    </row>
    <row r="75" spans="1:11" ht="86.1" customHeight="1">
      <c r="A75" t="s">
        <v>168</v>
      </c>
      <c r="B75" t="s">
        <v>148</v>
      </c>
      <c r="C75" t="s">
        <v>45</v>
      </c>
      <c r="D75" t="s">
        <v>16</v>
      </c>
      <c r="E75" s="6" t="s">
        <v>35</v>
      </c>
      <c r="F75">
        <v>2</v>
      </c>
      <c r="G75">
        <f>COUNT('Criterion review'!G154:G155)</f>
        <v>0</v>
      </c>
      <c r="H75">
        <f>SUM('Criterion review'!G154:G155)</f>
        <v>0</v>
      </c>
      <c r="I75" s="2" t="str">
        <f>IF(COUNT(I15)=0,"",I15)</f>
        <v/>
      </c>
      <c r="J75" s="2" t="str">
        <f t="shared" si="2"/>
        <v>Pending</v>
      </c>
      <c r="K75" s="2" t="s">
        <v>169</v>
      </c>
    </row>
    <row r="76" spans="1:11" ht="86.1" customHeight="1">
      <c r="A76" t="s">
        <v>170</v>
      </c>
      <c r="B76" t="s">
        <v>148</v>
      </c>
      <c r="C76" t="s">
        <v>47</v>
      </c>
      <c r="D76" t="s">
        <v>16</v>
      </c>
      <c r="E76" s="6" t="s">
        <v>171</v>
      </c>
      <c r="F76">
        <v>2</v>
      </c>
      <c r="G76">
        <f>COUNT('Criterion review'!G156:G157)</f>
        <v>0</v>
      </c>
      <c r="H76">
        <f>SUM('Criterion review'!G156:G157)</f>
        <v>0</v>
      </c>
      <c r="I76" s="1">
        <v>1</v>
      </c>
      <c r="J76" t="str">
        <f t="shared" si="2"/>
        <v>Pending</v>
      </c>
      <c r="K76" s="1"/>
    </row>
    <row r="77" spans="1:11" ht="86.1" customHeight="1">
      <c r="A77" t="s">
        <v>172</v>
      </c>
      <c r="B77" t="s">
        <v>148</v>
      </c>
      <c r="C77" t="s">
        <v>50</v>
      </c>
      <c r="D77" t="s">
        <v>16</v>
      </c>
      <c r="E77" s="6" t="s">
        <v>173</v>
      </c>
      <c r="F77">
        <v>2</v>
      </c>
      <c r="G77">
        <f>COUNT('Criterion review'!G158:G159)</f>
        <v>0</v>
      </c>
      <c r="H77">
        <f>SUM('Criterion review'!G158:G159)</f>
        <v>0</v>
      </c>
      <c r="I77" s="1">
        <v>0</v>
      </c>
      <c r="J77" t="str">
        <f t="shared" si="2"/>
        <v>Pending</v>
      </c>
      <c r="K77" s="1"/>
    </row>
    <row r="78" spans="1:11" ht="86.1" customHeight="1">
      <c r="A78" t="s">
        <v>174</v>
      </c>
      <c r="B78" t="s">
        <v>148</v>
      </c>
      <c r="C78" t="s">
        <v>53</v>
      </c>
      <c r="D78" t="s">
        <v>16</v>
      </c>
      <c r="E78" s="6" t="s">
        <v>175</v>
      </c>
      <c r="F78">
        <v>2</v>
      </c>
      <c r="G78">
        <f>COUNT('Criterion review'!G160:G161)</f>
        <v>0</v>
      </c>
      <c r="H78">
        <f>SUM('Criterion review'!G160:G161)</f>
        <v>0</v>
      </c>
      <c r="I78" s="1">
        <v>0</v>
      </c>
      <c r="J78" t="str">
        <f t="shared" si="2"/>
        <v>Pending</v>
      </c>
      <c r="K78" s="1"/>
    </row>
    <row r="79" spans="1:11" ht="86.1" customHeight="1">
      <c r="A79" t="s">
        <v>176</v>
      </c>
      <c r="B79" t="s">
        <v>148</v>
      </c>
      <c r="C79" t="s">
        <v>56</v>
      </c>
      <c r="D79" t="s">
        <v>16</v>
      </c>
      <c r="E79" s="6" t="s">
        <v>35</v>
      </c>
      <c r="F79">
        <v>2</v>
      </c>
      <c r="G79">
        <f>COUNT('Criterion review'!G162:G163)</f>
        <v>0</v>
      </c>
      <c r="H79">
        <f>SUM('Criterion review'!G162:G163)</f>
        <v>0</v>
      </c>
      <c r="I79" s="2">
        <f>IF(COUNT(I19)=0,"",I19)</f>
        <v>1</v>
      </c>
      <c r="J79" s="2" t="str">
        <f t="shared" si="2"/>
        <v>Pending</v>
      </c>
      <c r="K79" s="2" t="s">
        <v>177</v>
      </c>
    </row>
    <row r="80" spans="1:11" ht="86.1" customHeight="1">
      <c r="A80" t="s">
        <v>178</v>
      </c>
      <c r="B80" t="s">
        <v>148</v>
      </c>
      <c r="C80" t="s">
        <v>58</v>
      </c>
      <c r="D80" t="s">
        <v>16</v>
      </c>
      <c r="E80" s="6" t="s">
        <v>179</v>
      </c>
      <c r="F80">
        <v>2</v>
      </c>
      <c r="G80">
        <f>COUNT('Criterion review'!G164:G165)</f>
        <v>0</v>
      </c>
      <c r="H80">
        <f>SUM('Criterion review'!G164:G165)</f>
        <v>0</v>
      </c>
      <c r="I80" s="1">
        <v>0</v>
      </c>
      <c r="J80" t="str">
        <f t="shared" si="2"/>
        <v>Pending</v>
      </c>
      <c r="K80" s="1"/>
    </row>
    <row r="81" spans="1:11" ht="86.1" customHeight="1">
      <c r="A81" t="s">
        <v>180</v>
      </c>
      <c r="B81" t="s">
        <v>148</v>
      </c>
      <c r="C81" t="s">
        <v>61</v>
      </c>
      <c r="D81" t="s">
        <v>16</v>
      </c>
      <c r="E81" s="6" t="s">
        <v>62</v>
      </c>
      <c r="F81">
        <v>2</v>
      </c>
      <c r="G81">
        <f>COUNT('Criterion review'!G166:G167)</f>
        <v>0</v>
      </c>
      <c r="H81">
        <f>SUM('Criterion review'!G166:G167)</f>
        <v>0</v>
      </c>
      <c r="I81" s="2">
        <f>IF(COUNT(I21)=0,"",I21)</f>
        <v>1</v>
      </c>
      <c r="J81" s="2" t="str">
        <f t="shared" si="2"/>
        <v>Pending</v>
      </c>
      <c r="K81" s="2" t="s">
        <v>181</v>
      </c>
    </row>
    <row r="82" spans="1:11" ht="86.1" customHeight="1">
      <c r="A82" t="s">
        <v>182</v>
      </c>
      <c r="B82" t="s">
        <v>148</v>
      </c>
      <c r="C82" t="s">
        <v>64</v>
      </c>
      <c r="D82" t="s">
        <v>16</v>
      </c>
      <c r="E82" s="6" t="s">
        <v>183</v>
      </c>
      <c r="F82">
        <v>2</v>
      </c>
      <c r="G82">
        <f>COUNT('Criterion review'!G168:G169)</f>
        <v>0</v>
      </c>
      <c r="H82">
        <f>SUM('Criterion review'!G168:G169)</f>
        <v>0</v>
      </c>
      <c r="I82" s="1">
        <v>0</v>
      </c>
      <c r="J82" t="str">
        <f t="shared" si="2"/>
        <v>Pending</v>
      </c>
      <c r="K82" s="1"/>
    </row>
    <row r="83" spans="1:11" ht="86.1" customHeight="1">
      <c r="A83" t="s">
        <v>184</v>
      </c>
      <c r="B83" t="s">
        <v>148</v>
      </c>
      <c r="C83" t="s">
        <v>67</v>
      </c>
      <c r="D83" t="s">
        <v>16</v>
      </c>
      <c r="E83" s="6" t="s">
        <v>35</v>
      </c>
      <c r="F83">
        <v>2</v>
      </c>
      <c r="G83">
        <f>COUNT('Criterion review'!G170:G171)</f>
        <v>0</v>
      </c>
      <c r="H83">
        <f>SUM('Criterion review'!G170:G171)</f>
        <v>0</v>
      </c>
      <c r="I83" s="2">
        <f t="shared" ref="I83:I94" si="3">IF(COUNT(I23)=0,"",I23)</f>
        <v>1</v>
      </c>
      <c r="J83" s="2" t="str">
        <f t="shared" si="2"/>
        <v>Pending</v>
      </c>
      <c r="K83" s="2" t="s">
        <v>185</v>
      </c>
    </row>
    <row r="84" spans="1:11" ht="86.1" customHeight="1">
      <c r="A84" t="s">
        <v>186</v>
      </c>
      <c r="B84" t="s">
        <v>148</v>
      </c>
      <c r="C84" t="s">
        <v>69</v>
      </c>
      <c r="D84" t="s">
        <v>16</v>
      </c>
      <c r="E84" s="6" t="s">
        <v>35</v>
      </c>
      <c r="F84">
        <v>2</v>
      </c>
      <c r="G84">
        <f>COUNT('Criterion review'!G172:G173)</f>
        <v>0</v>
      </c>
      <c r="H84">
        <f>SUM('Criterion review'!G172:G173)</f>
        <v>0</v>
      </c>
      <c r="I84" s="2">
        <f t="shared" si="3"/>
        <v>0</v>
      </c>
      <c r="J84" s="2" t="str">
        <f t="shared" si="2"/>
        <v>Pending</v>
      </c>
      <c r="K84" s="2" t="s">
        <v>187</v>
      </c>
    </row>
    <row r="85" spans="1:11" ht="86.1" customHeight="1">
      <c r="A85" t="s">
        <v>188</v>
      </c>
      <c r="B85" t="s">
        <v>148</v>
      </c>
      <c r="C85" t="s">
        <v>71</v>
      </c>
      <c r="D85" t="s">
        <v>16</v>
      </c>
      <c r="E85" s="6" t="s">
        <v>35</v>
      </c>
      <c r="F85">
        <v>3</v>
      </c>
      <c r="G85">
        <f>COUNT('Criterion review'!G174:G176)</f>
        <v>0</v>
      </c>
      <c r="H85">
        <f>SUM('Criterion review'!G174:G176)</f>
        <v>0</v>
      </c>
      <c r="I85" s="2">
        <f t="shared" si="3"/>
        <v>0</v>
      </c>
      <c r="J85" s="2" t="str">
        <f t="shared" si="2"/>
        <v>Pending</v>
      </c>
      <c r="K85" s="2" t="s">
        <v>189</v>
      </c>
    </row>
    <row r="86" spans="1:11" ht="86.1" customHeight="1">
      <c r="A86" t="s">
        <v>190</v>
      </c>
      <c r="B86" t="s">
        <v>148</v>
      </c>
      <c r="C86" t="s">
        <v>73</v>
      </c>
      <c r="D86" t="s">
        <v>16</v>
      </c>
      <c r="E86" s="6" t="s">
        <v>35</v>
      </c>
      <c r="F86">
        <v>3</v>
      </c>
      <c r="G86">
        <f>COUNT('Criterion review'!G177:G179)</f>
        <v>0</v>
      </c>
      <c r="H86">
        <f>SUM('Criterion review'!G177:G179)</f>
        <v>0</v>
      </c>
      <c r="I86" s="2">
        <f t="shared" si="3"/>
        <v>0</v>
      </c>
      <c r="J86" s="2" t="str">
        <f t="shared" si="2"/>
        <v>Pending</v>
      </c>
      <c r="K86" s="2" t="s">
        <v>191</v>
      </c>
    </row>
    <row r="87" spans="1:11" ht="86.1" customHeight="1">
      <c r="A87" t="s">
        <v>192</v>
      </c>
      <c r="B87" t="s">
        <v>148</v>
      </c>
      <c r="C87" t="s">
        <v>75</v>
      </c>
      <c r="D87" t="s">
        <v>16</v>
      </c>
      <c r="E87" s="6" t="s">
        <v>35</v>
      </c>
      <c r="F87">
        <v>2</v>
      </c>
      <c r="G87">
        <f>COUNT('Criterion review'!G180:G181)</f>
        <v>0</v>
      </c>
      <c r="H87">
        <f>SUM('Criterion review'!G180:G181)</f>
        <v>0</v>
      </c>
      <c r="I87" s="2" t="str">
        <f t="shared" si="3"/>
        <v/>
      </c>
      <c r="J87" s="2" t="str">
        <f t="shared" si="2"/>
        <v>Pending</v>
      </c>
      <c r="K87" s="2" t="s">
        <v>193</v>
      </c>
    </row>
    <row r="88" spans="1:11" ht="86.1" customHeight="1">
      <c r="A88" t="s">
        <v>194</v>
      </c>
      <c r="B88" t="s">
        <v>148</v>
      </c>
      <c r="C88" t="s">
        <v>77</v>
      </c>
      <c r="D88" t="s">
        <v>16</v>
      </c>
      <c r="E88" s="6" t="s">
        <v>35</v>
      </c>
      <c r="F88">
        <v>2</v>
      </c>
      <c r="G88">
        <f>COUNT('Criterion review'!G182:G183)</f>
        <v>0</v>
      </c>
      <c r="H88">
        <f>SUM('Criterion review'!G182:G183)</f>
        <v>0</v>
      </c>
      <c r="I88" s="2">
        <f t="shared" si="3"/>
        <v>0</v>
      </c>
      <c r="J88" s="2" t="str">
        <f t="shared" si="2"/>
        <v>Pending</v>
      </c>
      <c r="K88" s="2" t="s">
        <v>195</v>
      </c>
    </row>
    <row r="89" spans="1:11" ht="86.1" customHeight="1">
      <c r="A89" t="s">
        <v>196</v>
      </c>
      <c r="B89" t="s">
        <v>148</v>
      </c>
      <c r="C89" t="s">
        <v>79</v>
      </c>
      <c r="D89" t="s">
        <v>16</v>
      </c>
      <c r="E89" s="6" t="s">
        <v>35</v>
      </c>
      <c r="F89">
        <v>1</v>
      </c>
      <c r="G89">
        <f>COUNT('Criterion review'!G184:G184)</f>
        <v>0</v>
      </c>
      <c r="H89">
        <f>SUM('Criterion review'!G184:G184)</f>
        <v>0</v>
      </c>
      <c r="I89" s="2">
        <f t="shared" si="3"/>
        <v>0</v>
      </c>
      <c r="J89" s="2" t="str">
        <f t="shared" si="2"/>
        <v>Pending</v>
      </c>
      <c r="K89" s="2" t="s">
        <v>197</v>
      </c>
    </row>
    <row r="90" spans="1:11" ht="86.1" customHeight="1">
      <c r="A90" t="s">
        <v>198</v>
      </c>
      <c r="B90" t="s">
        <v>148</v>
      </c>
      <c r="C90" t="s">
        <v>81</v>
      </c>
      <c r="D90" t="s">
        <v>16</v>
      </c>
      <c r="E90" s="6" t="s">
        <v>35</v>
      </c>
      <c r="F90">
        <v>2</v>
      </c>
      <c r="G90">
        <f>COUNT('Criterion review'!G185:G186)</f>
        <v>0</v>
      </c>
      <c r="H90">
        <f>SUM('Criterion review'!G185:G186)</f>
        <v>0</v>
      </c>
      <c r="I90" s="2" t="str">
        <f t="shared" si="3"/>
        <v/>
      </c>
      <c r="J90" s="2" t="str">
        <f t="shared" si="2"/>
        <v>Pending</v>
      </c>
      <c r="K90" s="2" t="s">
        <v>199</v>
      </c>
    </row>
    <row r="91" spans="1:11" ht="86.1" customHeight="1">
      <c r="A91" t="s">
        <v>200</v>
      </c>
      <c r="B91" t="s">
        <v>148</v>
      </c>
      <c r="C91" t="s">
        <v>83</v>
      </c>
      <c r="D91" t="s">
        <v>16</v>
      </c>
      <c r="E91" s="6" t="s">
        <v>35</v>
      </c>
      <c r="F91">
        <v>2</v>
      </c>
      <c r="G91">
        <f>COUNT('Criterion review'!G187:G188)</f>
        <v>0</v>
      </c>
      <c r="H91">
        <f>SUM('Criterion review'!G187:G188)</f>
        <v>0</v>
      </c>
      <c r="I91" s="2">
        <f t="shared" si="3"/>
        <v>0</v>
      </c>
      <c r="J91" s="2" t="str">
        <f t="shared" si="2"/>
        <v>Pending</v>
      </c>
      <c r="K91" s="2" t="s">
        <v>201</v>
      </c>
    </row>
    <row r="92" spans="1:11" ht="86.1" customHeight="1">
      <c r="A92" t="s">
        <v>202</v>
      </c>
      <c r="B92" t="s">
        <v>148</v>
      </c>
      <c r="C92" t="s">
        <v>85</v>
      </c>
      <c r="D92" t="s">
        <v>16</v>
      </c>
      <c r="E92" s="6" t="s">
        <v>35</v>
      </c>
      <c r="F92">
        <v>2</v>
      </c>
      <c r="G92">
        <f>COUNT('Criterion review'!G189:G190)</f>
        <v>0</v>
      </c>
      <c r="H92">
        <f>SUM('Criterion review'!G189:G190)</f>
        <v>0</v>
      </c>
      <c r="I92" s="2">
        <f t="shared" si="3"/>
        <v>0</v>
      </c>
      <c r="J92" s="2" t="str">
        <f t="shared" si="2"/>
        <v>Pending</v>
      </c>
      <c r="K92" s="2" t="s">
        <v>203</v>
      </c>
    </row>
    <row r="93" spans="1:11" ht="86.1" customHeight="1">
      <c r="A93" t="s">
        <v>204</v>
      </c>
      <c r="B93" t="s">
        <v>148</v>
      </c>
      <c r="C93" t="s">
        <v>87</v>
      </c>
      <c r="D93" t="s">
        <v>16</v>
      </c>
      <c r="E93" s="6" t="s">
        <v>35</v>
      </c>
      <c r="F93">
        <v>2</v>
      </c>
      <c r="G93">
        <f>COUNT('Criterion review'!G191:G192)</f>
        <v>0</v>
      </c>
      <c r="H93">
        <f>SUM('Criterion review'!G191:G192)</f>
        <v>0</v>
      </c>
      <c r="I93" s="2">
        <f t="shared" si="3"/>
        <v>0</v>
      </c>
      <c r="J93" s="2" t="str">
        <f t="shared" si="2"/>
        <v>Pending</v>
      </c>
      <c r="K93" s="2" t="s">
        <v>205</v>
      </c>
    </row>
    <row r="94" spans="1:11" ht="86.1" customHeight="1">
      <c r="A94" t="s">
        <v>206</v>
      </c>
      <c r="B94" t="s">
        <v>148</v>
      </c>
      <c r="C94" t="s">
        <v>89</v>
      </c>
      <c r="D94" t="s">
        <v>16</v>
      </c>
      <c r="E94" s="6" t="s">
        <v>35</v>
      </c>
      <c r="F94">
        <v>1</v>
      </c>
      <c r="G94">
        <f>COUNT('Criterion review'!G193:G193)</f>
        <v>0</v>
      </c>
      <c r="H94">
        <f>SUM('Criterion review'!G193:G193)</f>
        <v>0</v>
      </c>
      <c r="I94" s="2">
        <f t="shared" si="3"/>
        <v>0</v>
      </c>
      <c r="J94" s="2" t="str">
        <f t="shared" si="2"/>
        <v>Pending</v>
      </c>
      <c r="K94" s="2" t="s">
        <v>207</v>
      </c>
    </row>
    <row r="95" spans="1:11" ht="86.1" customHeight="1">
      <c r="A95" t="s">
        <v>208</v>
      </c>
      <c r="B95" t="s">
        <v>148</v>
      </c>
      <c r="C95" t="s">
        <v>15</v>
      </c>
      <c r="D95" t="s">
        <v>91</v>
      </c>
      <c r="E95" s="6" t="s">
        <v>209</v>
      </c>
      <c r="F95">
        <v>2</v>
      </c>
      <c r="G95">
        <f>COUNT('Criterion review'!G194:G195)</f>
        <v>0</v>
      </c>
      <c r="H95">
        <f>SUM('Criterion review'!G194:G195)</f>
        <v>0</v>
      </c>
      <c r="I95" s="1">
        <v>0</v>
      </c>
      <c r="J95" t="str">
        <f t="shared" si="2"/>
        <v>Pending</v>
      </c>
      <c r="K95" s="1"/>
    </row>
    <row r="96" spans="1:11" ht="86.1" customHeight="1">
      <c r="A96" t="s">
        <v>210</v>
      </c>
      <c r="B96" t="s">
        <v>148</v>
      </c>
      <c r="C96" t="s">
        <v>19</v>
      </c>
      <c r="D96" t="s">
        <v>91</v>
      </c>
      <c r="E96" s="6" t="s">
        <v>211</v>
      </c>
      <c r="F96">
        <v>2</v>
      </c>
      <c r="G96">
        <f>COUNT('Criterion review'!G196:G197)</f>
        <v>0</v>
      </c>
      <c r="H96">
        <f>SUM('Criterion review'!G196:G197)</f>
        <v>0</v>
      </c>
      <c r="I96" s="1">
        <v>1</v>
      </c>
      <c r="J96" t="str">
        <f t="shared" si="2"/>
        <v>Pending</v>
      </c>
      <c r="K96" s="1"/>
    </row>
    <row r="97" spans="1:11" ht="86.1" customHeight="1">
      <c r="A97" t="s">
        <v>212</v>
      </c>
      <c r="B97" t="s">
        <v>148</v>
      </c>
      <c r="C97" t="s">
        <v>22</v>
      </c>
      <c r="D97" t="s">
        <v>91</v>
      </c>
      <c r="E97" s="6" t="s">
        <v>213</v>
      </c>
      <c r="F97" t="s">
        <v>509</v>
      </c>
      <c r="H97">
        <f>SUM('Criterion review'!G198:G199)</f>
        <v>0</v>
      </c>
      <c r="I97" s="1">
        <v>0</v>
      </c>
      <c r="J97" t="str">
        <f t="shared" si="2"/>
        <v>Pending</v>
      </c>
      <c r="K97" s="1"/>
    </row>
    <row r="98" spans="1:11" ht="86.1" customHeight="1">
      <c r="A98" t="s">
        <v>214</v>
      </c>
      <c r="B98" t="s">
        <v>148</v>
      </c>
      <c r="C98" t="s">
        <v>25</v>
      </c>
      <c r="D98" t="s">
        <v>91</v>
      </c>
      <c r="E98" s="6" t="s">
        <v>215</v>
      </c>
      <c r="F98">
        <v>3</v>
      </c>
      <c r="G98">
        <f>COUNT('Criterion review'!G200:G202)</f>
        <v>0</v>
      </c>
      <c r="H98">
        <f>SUM('Criterion review'!G200:G202)</f>
        <v>0</v>
      </c>
      <c r="I98" s="1">
        <v>0</v>
      </c>
      <c r="J98" t="str">
        <f t="shared" si="2"/>
        <v>Pending</v>
      </c>
      <c r="K98" s="1"/>
    </row>
    <row r="99" spans="1:11" ht="86.1" customHeight="1">
      <c r="A99" t="s">
        <v>216</v>
      </c>
      <c r="B99" t="s">
        <v>148</v>
      </c>
      <c r="C99" t="s">
        <v>28</v>
      </c>
      <c r="D99" t="s">
        <v>91</v>
      </c>
      <c r="E99" s="6" t="s">
        <v>217</v>
      </c>
      <c r="F99">
        <v>2</v>
      </c>
      <c r="G99">
        <f>COUNT('Criterion review'!G203:G204)</f>
        <v>0</v>
      </c>
      <c r="H99">
        <f>SUM('Criterion review'!G203:G204)</f>
        <v>0</v>
      </c>
      <c r="I99" s="1">
        <v>0</v>
      </c>
      <c r="J99" t="str">
        <f t="shared" si="2"/>
        <v>Pending</v>
      </c>
      <c r="K99" s="1"/>
    </row>
    <row r="100" spans="1:11" ht="86.1" customHeight="1">
      <c r="A100" t="s">
        <v>218</v>
      </c>
      <c r="B100" t="s">
        <v>148</v>
      </c>
      <c r="C100" t="s">
        <v>31</v>
      </c>
      <c r="D100" t="s">
        <v>91</v>
      </c>
      <c r="E100" s="6" t="s">
        <v>219</v>
      </c>
      <c r="F100">
        <v>2</v>
      </c>
      <c r="G100">
        <f>COUNT('Criterion review'!G205:G206)</f>
        <v>0</v>
      </c>
      <c r="H100">
        <f>SUM('Criterion review'!G205:G206)</f>
        <v>0</v>
      </c>
      <c r="I100" s="1">
        <v>0</v>
      </c>
      <c r="J100" t="str">
        <f t="shared" si="2"/>
        <v>Pending</v>
      </c>
      <c r="K100" s="1"/>
    </row>
    <row r="101" spans="1:11" ht="86.1" customHeight="1">
      <c r="A101" t="s">
        <v>220</v>
      </c>
      <c r="B101" t="s">
        <v>148</v>
      </c>
      <c r="C101" t="s">
        <v>34</v>
      </c>
      <c r="D101" t="s">
        <v>91</v>
      </c>
      <c r="E101" s="6" t="s">
        <v>221</v>
      </c>
      <c r="F101">
        <v>2</v>
      </c>
      <c r="G101">
        <f>COUNT('Criterion review'!G207:G208)</f>
        <v>0</v>
      </c>
      <c r="H101">
        <f>SUM('Criterion review'!G207:G208)</f>
        <v>0</v>
      </c>
      <c r="I101" s="1">
        <v>0</v>
      </c>
      <c r="J101" t="str">
        <f t="shared" ref="J101:J132" si="4">IF(OR(G101&lt;F101,COUNT(I101)=0),"Pending",IF(AND(H101=F101,I101=0),"Correct","Incorrect"))</f>
        <v>Pending</v>
      </c>
      <c r="K101" s="1"/>
    </row>
    <row r="102" spans="1:11" ht="86.1" customHeight="1">
      <c r="A102" t="s">
        <v>222</v>
      </c>
      <c r="B102" t="s">
        <v>148</v>
      </c>
      <c r="C102" t="s">
        <v>37</v>
      </c>
      <c r="D102" t="s">
        <v>91</v>
      </c>
      <c r="E102" s="6" t="s">
        <v>223</v>
      </c>
      <c r="F102">
        <v>3</v>
      </c>
      <c r="G102">
        <f>COUNT('Criterion review'!G209:G211)</f>
        <v>0</v>
      </c>
      <c r="H102">
        <f>SUM('Criterion review'!G209:G211)</f>
        <v>0</v>
      </c>
      <c r="I102" s="1">
        <v>0</v>
      </c>
      <c r="J102" t="str">
        <f t="shared" si="4"/>
        <v>Pending</v>
      </c>
      <c r="K102" s="1"/>
    </row>
    <row r="103" spans="1:11" ht="86.1" customHeight="1">
      <c r="A103" t="s">
        <v>224</v>
      </c>
      <c r="B103" t="s">
        <v>148</v>
      </c>
      <c r="C103" t="s">
        <v>40</v>
      </c>
      <c r="D103" t="s">
        <v>91</v>
      </c>
      <c r="E103" s="6" t="s">
        <v>225</v>
      </c>
      <c r="F103">
        <v>2</v>
      </c>
      <c r="G103">
        <f>COUNT('Criterion review'!G212:G213)</f>
        <v>0</v>
      </c>
      <c r="H103">
        <f>SUM('Criterion review'!G212:G213)</f>
        <v>0</v>
      </c>
      <c r="I103" s="1">
        <v>0</v>
      </c>
      <c r="J103" t="str">
        <f t="shared" si="4"/>
        <v>Pending</v>
      </c>
      <c r="K103" s="1"/>
    </row>
    <row r="104" spans="1:11" ht="86.1" customHeight="1">
      <c r="A104" t="s">
        <v>226</v>
      </c>
      <c r="B104" t="s">
        <v>148</v>
      </c>
      <c r="C104" t="s">
        <v>42</v>
      </c>
      <c r="D104" t="s">
        <v>91</v>
      </c>
      <c r="E104" s="6" t="s">
        <v>227</v>
      </c>
      <c r="F104">
        <v>3</v>
      </c>
      <c r="G104">
        <f>COUNT('Criterion review'!G214:G216)</f>
        <v>0</v>
      </c>
      <c r="H104">
        <f>SUM('Criterion review'!G214:G216)</f>
        <v>0</v>
      </c>
      <c r="I104" s="1">
        <v>0</v>
      </c>
      <c r="J104" t="str">
        <f t="shared" si="4"/>
        <v>Pending</v>
      </c>
      <c r="K104" s="1"/>
    </row>
    <row r="105" spans="1:11" ht="86.1" customHeight="1">
      <c r="A105" t="s">
        <v>228</v>
      </c>
      <c r="B105" t="s">
        <v>148</v>
      </c>
      <c r="C105" t="s">
        <v>45</v>
      </c>
      <c r="D105" t="s">
        <v>91</v>
      </c>
      <c r="E105" s="6" t="s">
        <v>229</v>
      </c>
      <c r="F105">
        <v>2</v>
      </c>
      <c r="G105">
        <f>COUNT('Criterion review'!G217:G218)</f>
        <v>0</v>
      </c>
      <c r="H105">
        <f>SUM('Criterion review'!G217:G218)</f>
        <v>0</v>
      </c>
      <c r="I105" s="1">
        <v>0</v>
      </c>
      <c r="J105" t="str">
        <f t="shared" si="4"/>
        <v>Pending</v>
      </c>
      <c r="K105" s="1"/>
    </row>
    <row r="106" spans="1:11" ht="86.1" customHeight="1">
      <c r="A106" t="s">
        <v>230</v>
      </c>
      <c r="B106" t="s">
        <v>148</v>
      </c>
      <c r="C106" t="s">
        <v>47</v>
      </c>
      <c r="D106" t="s">
        <v>91</v>
      </c>
      <c r="E106" s="6" t="s">
        <v>231</v>
      </c>
      <c r="F106">
        <v>2</v>
      </c>
      <c r="G106">
        <f>COUNT('Criterion review'!G219:G220)</f>
        <v>0</v>
      </c>
      <c r="H106">
        <f>SUM('Criterion review'!G219:G220)</f>
        <v>0</v>
      </c>
      <c r="I106" s="1">
        <v>0</v>
      </c>
      <c r="J106" t="str">
        <f t="shared" si="4"/>
        <v>Pending</v>
      </c>
      <c r="K106" s="1"/>
    </row>
    <row r="107" spans="1:11" ht="86.1" customHeight="1">
      <c r="A107" t="s">
        <v>232</v>
      </c>
      <c r="B107" t="s">
        <v>148</v>
      </c>
      <c r="C107" t="s">
        <v>50</v>
      </c>
      <c r="D107" t="s">
        <v>91</v>
      </c>
      <c r="E107" s="6" t="s">
        <v>233</v>
      </c>
      <c r="F107">
        <v>2</v>
      </c>
      <c r="G107">
        <f>COUNT('Criterion review'!G221:G222)</f>
        <v>0</v>
      </c>
      <c r="H107">
        <f>SUM('Criterion review'!G221:G222)</f>
        <v>0</v>
      </c>
      <c r="I107" s="1">
        <v>0</v>
      </c>
      <c r="J107" t="str">
        <f t="shared" si="4"/>
        <v>Pending</v>
      </c>
      <c r="K107" s="1"/>
    </row>
    <row r="108" spans="1:11" ht="86.1" customHeight="1">
      <c r="A108" t="s">
        <v>234</v>
      </c>
      <c r="B108" t="s">
        <v>148</v>
      </c>
      <c r="C108" t="s">
        <v>53</v>
      </c>
      <c r="D108" t="s">
        <v>91</v>
      </c>
      <c r="E108" s="6" t="s">
        <v>235</v>
      </c>
      <c r="F108">
        <v>2</v>
      </c>
      <c r="G108">
        <f>COUNT('Criterion review'!G223:G224)</f>
        <v>0</v>
      </c>
      <c r="H108">
        <f>SUM('Criterion review'!G223:G224)</f>
        <v>0</v>
      </c>
      <c r="I108" s="1">
        <v>1</v>
      </c>
      <c r="J108" t="str">
        <f t="shared" si="4"/>
        <v>Pending</v>
      </c>
      <c r="K108" s="1"/>
    </row>
    <row r="109" spans="1:11" ht="86.1" customHeight="1">
      <c r="A109" t="s">
        <v>236</v>
      </c>
      <c r="B109" t="s">
        <v>148</v>
      </c>
      <c r="C109" t="s">
        <v>56</v>
      </c>
      <c r="D109" t="s">
        <v>91</v>
      </c>
      <c r="E109" s="6" t="s">
        <v>237</v>
      </c>
      <c r="F109">
        <v>2</v>
      </c>
      <c r="G109">
        <f>COUNT('Criterion review'!G225:G226)</f>
        <v>0</v>
      </c>
      <c r="H109">
        <f>SUM('Criterion review'!G225:G226)</f>
        <v>0</v>
      </c>
      <c r="I109" s="1">
        <v>0</v>
      </c>
      <c r="J109" t="str">
        <f t="shared" si="4"/>
        <v>Pending</v>
      </c>
      <c r="K109" s="1"/>
    </row>
    <row r="110" spans="1:11" ht="86.1" customHeight="1">
      <c r="A110" t="s">
        <v>238</v>
      </c>
      <c r="B110" t="s">
        <v>148</v>
      </c>
      <c r="C110" t="s">
        <v>58</v>
      </c>
      <c r="D110" t="s">
        <v>91</v>
      </c>
      <c r="E110" s="6" t="s">
        <v>239</v>
      </c>
      <c r="F110">
        <v>2</v>
      </c>
      <c r="G110">
        <f>COUNT('Criterion review'!G227:G228)</f>
        <v>0</v>
      </c>
      <c r="H110">
        <f>SUM('Criterion review'!G227:G228)</f>
        <v>0</v>
      </c>
      <c r="I110" s="1">
        <v>1</v>
      </c>
      <c r="J110" t="str">
        <f t="shared" si="4"/>
        <v>Pending</v>
      </c>
      <c r="K110" s="1"/>
    </row>
    <row r="111" spans="1:11" ht="86.1" customHeight="1">
      <c r="A111" t="s">
        <v>240</v>
      </c>
      <c r="B111" t="s">
        <v>148</v>
      </c>
      <c r="C111" t="s">
        <v>61</v>
      </c>
      <c r="D111" t="s">
        <v>91</v>
      </c>
      <c r="E111" s="6" t="s">
        <v>241</v>
      </c>
      <c r="F111">
        <v>2</v>
      </c>
      <c r="G111">
        <f>COUNT('Criterion review'!G229:G230)</f>
        <v>0</v>
      </c>
      <c r="H111">
        <f>SUM('Criterion review'!G229:G230)</f>
        <v>0</v>
      </c>
      <c r="I111" s="1">
        <v>0</v>
      </c>
      <c r="J111" t="str">
        <f t="shared" si="4"/>
        <v>Pending</v>
      </c>
      <c r="K111" s="1"/>
    </row>
    <row r="112" spans="1:11" ht="86.1" customHeight="1">
      <c r="A112" t="s">
        <v>242</v>
      </c>
      <c r="B112" t="s">
        <v>148</v>
      </c>
      <c r="C112" t="s">
        <v>64</v>
      </c>
      <c r="D112" t="s">
        <v>91</v>
      </c>
      <c r="E112" s="6" t="s">
        <v>243</v>
      </c>
      <c r="F112">
        <v>2</v>
      </c>
      <c r="G112">
        <f>COUNT('Criterion review'!G231:G232)</f>
        <v>0</v>
      </c>
      <c r="H112">
        <f>SUM('Criterion review'!G231:G232)</f>
        <v>0</v>
      </c>
      <c r="I112" s="1">
        <v>0</v>
      </c>
      <c r="J112" t="str">
        <f t="shared" si="4"/>
        <v>Pending</v>
      </c>
      <c r="K112" s="1"/>
    </row>
    <row r="113" spans="1:11" ht="86.1" customHeight="1">
      <c r="A113" t="s">
        <v>244</v>
      </c>
      <c r="B113" t="s">
        <v>148</v>
      </c>
      <c r="C113" t="s">
        <v>67</v>
      </c>
      <c r="D113" t="s">
        <v>91</v>
      </c>
      <c r="E113" s="6" t="s">
        <v>245</v>
      </c>
      <c r="F113">
        <v>2</v>
      </c>
      <c r="G113">
        <f>COUNT('Criterion review'!G233:G234)</f>
        <v>0</v>
      </c>
      <c r="H113">
        <f>SUM('Criterion review'!G233:G234)</f>
        <v>0</v>
      </c>
      <c r="I113" s="1">
        <v>0</v>
      </c>
      <c r="J113" t="str">
        <f t="shared" si="4"/>
        <v>Pending</v>
      </c>
      <c r="K113" s="1"/>
    </row>
    <row r="114" spans="1:11" ht="86.1" customHeight="1">
      <c r="A114" t="s">
        <v>246</v>
      </c>
      <c r="B114" t="s">
        <v>148</v>
      </c>
      <c r="C114" t="s">
        <v>69</v>
      </c>
      <c r="D114" t="s">
        <v>91</v>
      </c>
      <c r="E114" s="6" t="s">
        <v>247</v>
      </c>
      <c r="F114">
        <v>2</v>
      </c>
      <c r="G114">
        <f>COUNT('Criterion review'!G235:G236)</f>
        <v>0</v>
      </c>
      <c r="H114">
        <f>SUM('Criterion review'!G235:G236)</f>
        <v>0</v>
      </c>
      <c r="I114" s="1">
        <v>0</v>
      </c>
      <c r="J114" t="str">
        <f t="shared" si="4"/>
        <v>Pending</v>
      </c>
      <c r="K114" s="1"/>
    </row>
    <row r="115" spans="1:11" ht="86.1" customHeight="1">
      <c r="A115" t="s">
        <v>248</v>
      </c>
      <c r="B115" t="s">
        <v>148</v>
      </c>
      <c r="C115" t="s">
        <v>71</v>
      </c>
      <c r="D115" t="s">
        <v>91</v>
      </c>
      <c r="E115" s="6" t="s">
        <v>249</v>
      </c>
      <c r="F115">
        <v>3</v>
      </c>
      <c r="G115">
        <f>COUNT('Criterion review'!G237:G239)</f>
        <v>0</v>
      </c>
      <c r="H115">
        <f>SUM('Criterion review'!G237:G239)</f>
        <v>0</v>
      </c>
      <c r="I115" s="1">
        <v>1</v>
      </c>
      <c r="J115" t="str">
        <f t="shared" si="4"/>
        <v>Pending</v>
      </c>
      <c r="K115" s="1"/>
    </row>
    <row r="116" spans="1:11" ht="86.1" customHeight="1">
      <c r="A116" t="s">
        <v>250</v>
      </c>
      <c r="B116" t="s">
        <v>148</v>
      </c>
      <c r="C116" t="s">
        <v>73</v>
      </c>
      <c r="D116" t="s">
        <v>91</v>
      </c>
      <c r="E116" s="6" t="s">
        <v>251</v>
      </c>
      <c r="F116">
        <v>3</v>
      </c>
      <c r="G116">
        <f>COUNT('Criterion review'!G240:G242)</f>
        <v>0</v>
      </c>
      <c r="H116">
        <f>SUM('Criterion review'!G240:G242)</f>
        <v>0</v>
      </c>
      <c r="I116" s="1">
        <v>0</v>
      </c>
      <c r="J116" t="str">
        <f t="shared" si="4"/>
        <v>Pending</v>
      </c>
      <c r="K116" s="1"/>
    </row>
    <row r="117" spans="1:11" ht="86.1" customHeight="1">
      <c r="A117" t="s">
        <v>252</v>
      </c>
      <c r="B117" t="s">
        <v>148</v>
      </c>
      <c r="C117" t="s">
        <v>75</v>
      </c>
      <c r="D117" t="s">
        <v>91</v>
      </c>
      <c r="E117" s="6" t="s">
        <v>253</v>
      </c>
      <c r="F117">
        <v>2</v>
      </c>
      <c r="G117">
        <f>COUNT('Criterion review'!G243:G244)</f>
        <v>0</v>
      </c>
      <c r="H117">
        <f>SUM('Criterion review'!G243:G244)</f>
        <v>0</v>
      </c>
      <c r="I117" s="1">
        <v>1</v>
      </c>
      <c r="J117" t="str">
        <f t="shared" si="4"/>
        <v>Pending</v>
      </c>
      <c r="K117" s="1"/>
    </row>
    <row r="118" spans="1:11" ht="86.1" customHeight="1">
      <c r="A118" t="s">
        <v>254</v>
      </c>
      <c r="B118" t="s">
        <v>148</v>
      </c>
      <c r="C118" t="s">
        <v>77</v>
      </c>
      <c r="D118" t="s">
        <v>91</v>
      </c>
      <c r="E118" s="6"/>
      <c r="F118">
        <v>2</v>
      </c>
      <c r="G118">
        <f>COUNT('Criterion review'!G245:G246)</f>
        <v>0</v>
      </c>
      <c r="H118">
        <f>SUM('Criterion review'!G245:G246)</f>
        <v>0</v>
      </c>
      <c r="I118" s="1">
        <v>0</v>
      </c>
      <c r="J118" t="str">
        <f t="shared" si="4"/>
        <v>Pending</v>
      </c>
      <c r="K118" s="1" t="s">
        <v>92</v>
      </c>
    </row>
    <row r="119" spans="1:11" ht="86.1" customHeight="1">
      <c r="A119" t="s">
        <v>255</v>
      </c>
      <c r="B119" t="s">
        <v>148</v>
      </c>
      <c r="C119" t="s">
        <v>79</v>
      </c>
      <c r="D119" t="s">
        <v>91</v>
      </c>
      <c r="E119" s="6" t="s">
        <v>256</v>
      </c>
      <c r="F119">
        <v>1</v>
      </c>
      <c r="G119">
        <f>COUNT('Criterion review'!G247:G247)</f>
        <v>0</v>
      </c>
      <c r="H119">
        <f>SUM('Criterion review'!G247:G247)</f>
        <v>0</v>
      </c>
      <c r="I119" s="1">
        <v>0</v>
      </c>
      <c r="J119" t="str">
        <f t="shared" si="4"/>
        <v>Pending</v>
      </c>
      <c r="K119" s="1"/>
    </row>
    <row r="120" spans="1:11" ht="86.1" customHeight="1">
      <c r="A120" t="s">
        <v>257</v>
      </c>
      <c r="B120" t="s">
        <v>148</v>
      </c>
      <c r="C120" t="s">
        <v>81</v>
      </c>
      <c r="D120" t="s">
        <v>91</v>
      </c>
      <c r="E120" s="6" t="s">
        <v>258</v>
      </c>
      <c r="F120">
        <v>2</v>
      </c>
      <c r="G120">
        <f>COUNT('Criterion review'!G248:G249)</f>
        <v>0</v>
      </c>
      <c r="H120">
        <f>SUM('Criterion review'!G248:G249)</f>
        <v>0</v>
      </c>
      <c r="I120" s="1">
        <v>0</v>
      </c>
      <c r="J120" t="str">
        <f t="shared" si="4"/>
        <v>Pending</v>
      </c>
      <c r="K120" s="1"/>
    </row>
    <row r="121" spans="1:11" ht="86.1" customHeight="1">
      <c r="A121" t="s">
        <v>259</v>
      </c>
      <c r="B121" t="s">
        <v>148</v>
      </c>
      <c r="C121" t="s">
        <v>83</v>
      </c>
      <c r="D121" t="s">
        <v>91</v>
      </c>
      <c r="E121" s="6" t="s">
        <v>260</v>
      </c>
      <c r="F121">
        <v>2</v>
      </c>
      <c r="G121">
        <f>COUNT('Criterion review'!G250:G251)</f>
        <v>0</v>
      </c>
      <c r="H121">
        <f>SUM('Criterion review'!G250:G251)</f>
        <v>0</v>
      </c>
      <c r="I121" s="1">
        <v>0</v>
      </c>
      <c r="J121" t="str">
        <f>IF(OR(G121&lt;F121,COUNT(#REF!)=0),"Pending",IF(AND(H121=F121,#REF!=0),"Correct","Incorrect"))</f>
        <v>Pending</v>
      </c>
      <c r="K121" s="1"/>
    </row>
    <row r="122" spans="1:11" ht="86.1" customHeight="1">
      <c r="A122" t="s">
        <v>261</v>
      </c>
      <c r="B122" t="s">
        <v>148</v>
      </c>
      <c r="C122" t="s">
        <v>85</v>
      </c>
      <c r="D122" t="s">
        <v>91</v>
      </c>
      <c r="E122" s="6" t="s">
        <v>262</v>
      </c>
      <c r="F122">
        <v>2</v>
      </c>
      <c r="G122">
        <f>COUNT('Criterion review'!G252:G253)</f>
        <v>0</v>
      </c>
      <c r="H122">
        <f>SUM('Criterion review'!G252:G253)</f>
        <v>0</v>
      </c>
      <c r="J122" t="str">
        <f>IF(OR(G122&lt;F122,COUNT(I121)=0),"Pending",IF(AND(H122=F122,I121=0),"Correct","Incorrect"))</f>
        <v>Pending</v>
      </c>
      <c r="K122" s="1"/>
    </row>
    <row r="123" spans="1:11" ht="86.1" customHeight="1">
      <c r="A123" t="s">
        <v>263</v>
      </c>
      <c r="B123" t="s">
        <v>148</v>
      </c>
      <c r="C123" t="s">
        <v>87</v>
      </c>
      <c r="D123" t="s">
        <v>91</v>
      </c>
      <c r="E123" s="6" t="s">
        <v>264</v>
      </c>
      <c r="F123">
        <v>2</v>
      </c>
      <c r="G123">
        <f>COUNT('Criterion review'!G254:G255)</f>
        <v>0</v>
      </c>
      <c r="H123">
        <f>SUM('Criterion review'!G254:G255)</f>
        <v>0</v>
      </c>
      <c r="I123" s="1">
        <v>0</v>
      </c>
      <c r="J123" t="str">
        <f t="shared" si="4"/>
        <v>Pending</v>
      </c>
      <c r="K123" s="1"/>
    </row>
    <row r="124" spans="1:11" ht="86.1" customHeight="1">
      <c r="A124" t="s">
        <v>265</v>
      </c>
      <c r="B124" t="s">
        <v>148</v>
      </c>
      <c r="C124" t="s">
        <v>89</v>
      </c>
      <c r="D124" t="s">
        <v>91</v>
      </c>
      <c r="E124" s="6" t="s">
        <v>266</v>
      </c>
      <c r="F124">
        <v>1</v>
      </c>
      <c r="G124">
        <f>COUNT('Criterion review'!G256:G256)</f>
        <v>0</v>
      </c>
      <c r="H124">
        <f>SUM('Criterion review'!G256:G256)</f>
        <v>0</v>
      </c>
      <c r="I124" s="1">
        <v>0</v>
      </c>
      <c r="J124" t="str">
        <f t="shared" si="4"/>
        <v>Pending</v>
      </c>
      <c r="K124" s="1"/>
    </row>
    <row r="125" spans="1:11" ht="86.1" customHeight="1">
      <c r="A125" t="s">
        <v>267</v>
      </c>
      <c r="B125" t="s">
        <v>268</v>
      </c>
      <c r="C125" t="s">
        <v>15</v>
      </c>
      <c r="D125" t="s">
        <v>16</v>
      </c>
      <c r="E125" s="6" t="s">
        <v>269</v>
      </c>
      <c r="F125">
        <v>2</v>
      </c>
      <c r="G125">
        <f>COUNT('Criterion review'!G257:G258)</f>
        <v>0</v>
      </c>
      <c r="H125">
        <f>SUM('Criterion review'!G257:G258)</f>
        <v>0</v>
      </c>
      <c r="I125" s="1">
        <v>0</v>
      </c>
      <c r="J125" t="str">
        <f t="shared" si="4"/>
        <v>Pending</v>
      </c>
      <c r="K125" s="1"/>
    </row>
    <row r="126" spans="1:11" ht="86.1" customHeight="1">
      <c r="A126" t="s">
        <v>270</v>
      </c>
      <c r="B126" t="s">
        <v>268</v>
      </c>
      <c r="C126" t="s">
        <v>19</v>
      </c>
      <c r="D126" t="s">
        <v>16</v>
      </c>
      <c r="E126" s="6" t="s">
        <v>271</v>
      </c>
      <c r="F126">
        <v>2</v>
      </c>
      <c r="G126">
        <f>COUNT('Criterion review'!G259:G260)</f>
        <v>0</v>
      </c>
      <c r="H126">
        <f>SUM('Criterion review'!G259:G260)</f>
        <v>0</v>
      </c>
      <c r="I126" s="1">
        <v>0</v>
      </c>
      <c r="J126" t="str">
        <f t="shared" si="4"/>
        <v>Pending</v>
      </c>
      <c r="K126" s="1"/>
    </row>
    <row r="127" spans="1:11" ht="86.1" customHeight="1">
      <c r="A127" t="s">
        <v>272</v>
      </c>
      <c r="B127" t="s">
        <v>268</v>
      </c>
      <c r="C127" t="s">
        <v>22</v>
      </c>
      <c r="D127" t="s">
        <v>16</v>
      </c>
      <c r="E127" s="6" t="s">
        <v>273</v>
      </c>
      <c r="F127">
        <v>2</v>
      </c>
      <c r="G127">
        <f>COUNT('Criterion review'!G261:G262)</f>
        <v>0</v>
      </c>
      <c r="H127">
        <f>SUM('Criterion review'!G261:G262)</f>
        <v>0</v>
      </c>
      <c r="I127" s="1">
        <v>0</v>
      </c>
      <c r="J127" t="str">
        <f t="shared" si="4"/>
        <v>Pending</v>
      </c>
      <c r="K127" s="1"/>
    </row>
    <row r="128" spans="1:11" ht="86.1" customHeight="1">
      <c r="A128" t="s">
        <v>274</v>
      </c>
      <c r="B128" t="s">
        <v>268</v>
      </c>
      <c r="C128" t="s">
        <v>25</v>
      </c>
      <c r="D128" t="s">
        <v>16</v>
      </c>
      <c r="E128" s="6" t="s">
        <v>275</v>
      </c>
      <c r="F128">
        <v>3</v>
      </c>
      <c r="G128">
        <f>COUNT('Criterion review'!G263:G265)</f>
        <v>0</v>
      </c>
      <c r="H128">
        <f>SUM('Criterion review'!G263:G265)</f>
        <v>0</v>
      </c>
      <c r="I128" s="1">
        <v>0</v>
      </c>
      <c r="J128" t="str">
        <f t="shared" si="4"/>
        <v>Pending</v>
      </c>
      <c r="K128" s="1"/>
    </row>
    <row r="129" spans="1:11" ht="86.1" customHeight="1">
      <c r="A129" t="s">
        <v>276</v>
      </c>
      <c r="B129" t="s">
        <v>268</v>
      </c>
      <c r="C129" t="s">
        <v>28</v>
      </c>
      <c r="D129" t="s">
        <v>16</v>
      </c>
      <c r="E129" s="6" t="s">
        <v>277</v>
      </c>
      <c r="F129">
        <v>2</v>
      </c>
      <c r="G129">
        <f>COUNT('Criterion review'!G266:G267)</f>
        <v>0</v>
      </c>
      <c r="H129">
        <f>SUM('Criterion review'!G266:G267)</f>
        <v>0</v>
      </c>
      <c r="I129" s="1">
        <v>0</v>
      </c>
      <c r="J129" t="str">
        <f t="shared" si="4"/>
        <v>Pending</v>
      </c>
      <c r="K129" s="1"/>
    </row>
    <row r="130" spans="1:11" ht="86.1" customHeight="1">
      <c r="A130" t="s">
        <v>278</v>
      </c>
      <c r="B130" t="s">
        <v>268</v>
      </c>
      <c r="C130" t="s">
        <v>31</v>
      </c>
      <c r="D130" t="s">
        <v>16</v>
      </c>
      <c r="E130" s="6" t="s">
        <v>279</v>
      </c>
      <c r="F130">
        <v>2</v>
      </c>
      <c r="G130">
        <f>COUNT('Criterion review'!G268:G269)</f>
        <v>0</v>
      </c>
      <c r="H130">
        <f>SUM('Criterion review'!G268:G269)</f>
        <v>0</v>
      </c>
      <c r="I130" s="1">
        <v>0</v>
      </c>
      <c r="J130" t="str">
        <f t="shared" si="4"/>
        <v>Pending</v>
      </c>
      <c r="K130" s="1"/>
    </row>
    <row r="131" spans="1:11" ht="86.1" customHeight="1">
      <c r="A131" t="s">
        <v>280</v>
      </c>
      <c r="B131" t="s">
        <v>268</v>
      </c>
      <c r="C131" t="s">
        <v>34</v>
      </c>
      <c r="D131" t="s">
        <v>16</v>
      </c>
      <c r="E131" s="6" t="s">
        <v>35</v>
      </c>
      <c r="F131">
        <v>2</v>
      </c>
      <c r="G131">
        <f>COUNT('Criterion review'!G270:G271)</f>
        <v>0</v>
      </c>
      <c r="H131">
        <f>SUM('Criterion review'!G270:G271)</f>
        <v>0</v>
      </c>
      <c r="I131" s="2">
        <f>IF(COUNT(I11)=0,"",I11)</f>
        <v>0</v>
      </c>
      <c r="J131" s="2" t="str">
        <f t="shared" si="4"/>
        <v>Pending</v>
      </c>
      <c r="K131" s="2" t="s">
        <v>161</v>
      </c>
    </row>
    <row r="132" spans="1:11" ht="86.1" customHeight="1">
      <c r="A132" t="s">
        <v>281</v>
      </c>
      <c r="B132" t="s">
        <v>268</v>
      </c>
      <c r="C132" t="s">
        <v>37</v>
      </c>
      <c r="D132" t="s">
        <v>16</v>
      </c>
      <c r="E132" s="6" t="s">
        <v>282</v>
      </c>
      <c r="F132">
        <v>3</v>
      </c>
      <c r="G132">
        <f>COUNT('Criterion review'!G272:G274)</f>
        <v>0</v>
      </c>
      <c r="H132">
        <f>SUM('Criterion review'!G272:G274)</f>
        <v>0</v>
      </c>
      <c r="I132" s="1">
        <v>0</v>
      </c>
      <c r="J132" t="str">
        <f t="shared" si="4"/>
        <v>Pending</v>
      </c>
      <c r="K132" s="1"/>
    </row>
    <row r="133" spans="1:11" ht="86.1" customHeight="1">
      <c r="A133" t="s">
        <v>283</v>
      </c>
      <c r="B133" t="s">
        <v>268</v>
      </c>
      <c r="C133" t="s">
        <v>40</v>
      </c>
      <c r="D133" t="s">
        <v>16</v>
      </c>
      <c r="E133" s="6" t="s">
        <v>35</v>
      </c>
      <c r="F133">
        <v>2</v>
      </c>
      <c r="G133">
        <f>COUNT('Criterion review'!G275:G276)</f>
        <v>0</v>
      </c>
      <c r="H133">
        <f>SUM('Criterion review'!G275:G276)</f>
        <v>0</v>
      </c>
      <c r="I133" s="2">
        <f>IF(COUNT(I13)=0,"",I13)</f>
        <v>0</v>
      </c>
      <c r="J133" s="2" t="str">
        <f t="shared" ref="J133:J164" si="5">IF(OR(G133&lt;F133,COUNT(I133)=0),"Pending",IF(AND(H133=F133,I133=0),"Correct","Incorrect"))</f>
        <v>Pending</v>
      </c>
      <c r="K133" s="2" t="s">
        <v>165</v>
      </c>
    </row>
    <row r="134" spans="1:11" ht="86.1" customHeight="1">
      <c r="A134" t="s">
        <v>284</v>
      </c>
      <c r="B134" t="s">
        <v>268</v>
      </c>
      <c r="C134" t="s">
        <v>42</v>
      </c>
      <c r="D134" t="s">
        <v>16</v>
      </c>
      <c r="E134" s="6" t="s">
        <v>285</v>
      </c>
      <c r="F134">
        <v>3</v>
      </c>
      <c r="G134">
        <f>COUNT('Criterion review'!G277:G279)</f>
        <v>0</v>
      </c>
      <c r="H134">
        <f>SUM('Criterion review'!G277:G279)</f>
        <v>0</v>
      </c>
      <c r="I134" s="1">
        <v>0</v>
      </c>
      <c r="J134" t="str">
        <f t="shared" si="5"/>
        <v>Pending</v>
      </c>
      <c r="K134" s="1"/>
    </row>
    <row r="135" spans="1:11" ht="86.1" customHeight="1">
      <c r="A135" t="s">
        <v>286</v>
      </c>
      <c r="B135" t="s">
        <v>268</v>
      </c>
      <c r="C135" t="s">
        <v>45</v>
      </c>
      <c r="D135" t="s">
        <v>16</v>
      </c>
      <c r="E135" s="6" t="s">
        <v>35</v>
      </c>
      <c r="F135">
        <v>2</v>
      </c>
      <c r="G135">
        <f>COUNT('Criterion review'!G280:G281)</f>
        <v>0</v>
      </c>
      <c r="H135">
        <f>SUM('Criterion review'!G280:G281)</f>
        <v>0</v>
      </c>
      <c r="I135" s="2" t="str">
        <f>IF(COUNT(I15)=0,"",I15)</f>
        <v/>
      </c>
      <c r="J135" s="2" t="str">
        <f t="shared" si="5"/>
        <v>Pending</v>
      </c>
      <c r="K135" s="2" t="s">
        <v>169</v>
      </c>
    </row>
    <row r="136" spans="1:11" ht="86.1" customHeight="1">
      <c r="A136" t="s">
        <v>287</v>
      </c>
      <c r="B136" t="s">
        <v>268</v>
      </c>
      <c r="C136" t="s">
        <v>47</v>
      </c>
      <c r="D136" t="s">
        <v>16</v>
      </c>
      <c r="E136" s="6" t="s">
        <v>288</v>
      </c>
      <c r="F136">
        <v>2</v>
      </c>
      <c r="G136">
        <f>COUNT('Criterion review'!G282:G283)</f>
        <v>0</v>
      </c>
      <c r="H136">
        <f>SUM('Criterion review'!G282:G283)</f>
        <v>0</v>
      </c>
      <c r="I136" s="1">
        <v>0</v>
      </c>
      <c r="J136" t="str">
        <f t="shared" si="5"/>
        <v>Pending</v>
      </c>
      <c r="K136" s="1"/>
    </row>
    <row r="137" spans="1:11" ht="86.1" customHeight="1">
      <c r="A137" t="s">
        <v>289</v>
      </c>
      <c r="B137" t="s">
        <v>268</v>
      </c>
      <c r="C137" t="s">
        <v>50</v>
      </c>
      <c r="D137" t="s">
        <v>16</v>
      </c>
      <c r="E137" s="6" t="s">
        <v>290</v>
      </c>
      <c r="F137">
        <v>2</v>
      </c>
      <c r="G137">
        <f>COUNT('Criterion review'!G284:G285)</f>
        <v>0</v>
      </c>
      <c r="H137">
        <f>SUM('Criterion review'!G284:G285)</f>
        <v>0</v>
      </c>
      <c r="I137" s="1">
        <v>0</v>
      </c>
      <c r="J137" t="str">
        <f t="shared" si="5"/>
        <v>Pending</v>
      </c>
      <c r="K137" s="1"/>
    </row>
    <row r="138" spans="1:11" ht="86.1" customHeight="1">
      <c r="A138" t="s">
        <v>291</v>
      </c>
      <c r="B138" t="s">
        <v>268</v>
      </c>
      <c r="C138" t="s">
        <v>53</v>
      </c>
      <c r="D138" t="s">
        <v>16</v>
      </c>
      <c r="E138" s="6" t="s">
        <v>292</v>
      </c>
      <c r="F138">
        <v>2</v>
      </c>
      <c r="G138">
        <f>COUNT('Criterion review'!G286:G287)</f>
        <v>0</v>
      </c>
      <c r="H138">
        <f>SUM('Criterion review'!G286:G287)</f>
        <v>0</v>
      </c>
      <c r="I138" s="1">
        <v>0</v>
      </c>
      <c r="J138" t="str">
        <f t="shared" si="5"/>
        <v>Pending</v>
      </c>
      <c r="K138" s="1"/>
    </row>
    <row r="139" spans="1:11" ht="86.1" customHeight="1">
      <c r="A139" t="s">
        <v>293</v>
      </c>
      <c r="B139" t="s">
        <v>268</v>
      </c>
      <c r="C139" t="s">
        <v>56</v>
      </c>
      <c r="D139" t="s">
        <v>16</v>
      </c>
      <c r="E139" s="6" t="s">
        <v>35</v>
      </c>
      <c r="F139">
        <v>2</v>
      </c>
      <c r="G139">
        <f>COUNT('Criterion review'!G288:G289)</f>
        <v>0</v>
      </c>
      <c r="H139">
        <f>SUM('Criterion review'!G288:G289)</f>
        <v>0</v>
      </c>
      <c r="I139" s="2">
        <f>IF(COUNT(I19)=0,"",I19)</f>
        <v>1</v>
      </c>
      <c r="J139" s="2" t="str">
        <f t="shared" si="5"/>
        <v>Pending</v>
      </c>
      <c r="K139" s="2" t="s">
        <v>177</v>
      </c>
    </row>
    <row r="140" spans="1:11" ht="86.1" customHeight="1">
      <c r="A140" t="s">
        <v>294</v>
      </c>
      <c r="B140" t="s">
        <v>268</v>
      </c>
      <c r="C140" t="s">
        <v>58</v>
      </c>
      <c r="D140" t="s">
        <v>16</v>
      </c>
      <c r="E140" s="6" t="s">
        <v>295</v>
      </c>
      <c r="F140">
        <v>2</v>
      </c>
      <c r="G140">
        <f>COUNT('Criterion review'!G290:G291)</f>
        <v>0</v>
      </c>
      <c r="H140">
        <f>SUM('Criterion review'!G290:G291)</f>
        <v>0</v>
      </c>
      <c r="I140" s="1">
        <v>0</v>
      </c>
      <c r="J140" t="str">
        <f t="shared" si="5"/>
        <v>Pending</v>
      </c>
      <c r="K140" s="1"/>
    </row>
    <row r="141" spans="1:11" ht="86.1" customHeight="1">
      <c r="A141" t="s">
        <v>296</v>
      </c>
      <c r="B141" t="s">
        <v>268</v>
      </c>
      <c r="C141" t="s">
        <v>61</v>
      </c>
      <c r="D141" t="s">
        <v>16</v>
      </c>
      <c r="E141" s="6" t="s">
        <v>62</v>
      </c>
      <c r="F141">
        <v>2</v>
      </c>
      <c r="G141">
        <f>COUNT('Criterion review'!G292:G293)</f>
        <v>0</v>
      </c>
      <c r="H141">
        <f>SUM('Criterion review'!G292:G293)</f>
        <v>0</v>
      </c>
      <c r="I141" s="2">
        <f>IF(COUNT(I21)=0,"",I21)</f>
        <v>1</v>
      </c>
      <c r="J141" s="2" t="str">
        <f t="shared" si="5"/>
        <v>Pending</v>
      </c>
      <c r="K141" s="2" t="s">
        <v>181</v>
      </c>
    </row>
    <row r="142" spans="1:11" ht="86.1" customHeight="1">
      <c r="A142" t="s">
        <v>297</v>
      </c>
      <c r="B142" t="s">
        <v>268</v>
      </c>
      <c r="C142" t="s">
        <v>64</v>
      </c>
      <c r="D142" t="s">
        <v>16</v>
      </c>
      <c r="E142" s="6" t="s">
        <v>298</v>
      </c>
      <c r="F142">
        <v>2</v>
      </c>
      <c r="G142">
        <f>COUNT('Criterion review'!G294:G295)</f>
        <v>0</v>
      </c>
      <c r="H142">
        <f>SUM('Criterion review'!G294:G295)</f>
        <v>0</v>
      </c>
      <c r="I142" s="1">
        <v>0</v>
      </c>
      <c r="J142" t="str">
        <f t="shared" si="5"/>
        <v>Pending</v>
      </c>
      <c r="K142" s="1"/>
    </row>
    <row r="143" spans="1:11" ht="86.1" customHeight="1">
      <c r="A143" t="s">
        <v>299</v>
      </c>
      <c r="B143" t="s">
        <v>268</v>
      </c>
      <c r="C143" t="s">
        <v>67</v>
      </c>
      <c r="D143" t="s">
        <v>16</v>
      </c>
      <c r="E143" s="6" t="s">
        <v>35</v>
      </c>
      <c r="F143">
        <v>2</v>
      </c>
      <c r="G143">
        <f>COUNT('Criterion review'!G296:G297)</f>
        <v>0</v>
      </c>
      <c r="H143">
        <f>SUM('Criterion review'!G296:G297)</f>
        <v>0</v>
      </c>
      <c r="I143" s="2">
        <f t="shared" ref="I143:I154" si="6">IF(COUNT(I23)=0,"",I23)</f>
        <v>1</v>
      </c>
      <c r="J143" s="2" t="str">
        <f t="shared" si="5"/>
        <v>Pending</v>
      </c>
      <c r="K143" s="2" t="s">
        <v>185</v>
      </c>
    </row>
    <row r="144" spans="1:11" ht="86.1" customHeight="1">
      <c r="A144" t="s">
        <v>300</v>
      </c>
      <c r="B144" t="s">
        <v>268</v>
      </c>
      <c r="C144" t="s">
        <v>69</v>
      </c>
      <c r="D144" t="s">
        <v>16</v>
      </c>
      <c r="E144" s="6" t="s">
        <v>35</v>
      </c>
      <c r="F144">
        <v>2</v>
      </c>
      <c r="G144">
        <f>COUNT('Criterion review'!G298:G299)</f>
        <v>0</v>
      </c>
      <c r="H144">
        <f>SUM('Criterion review'!G298:G299)</f>
        <v>0</v>
      </c>
      <c r="I144" s="2">
        <f t="shared" si="6"/>
        <v>0</v>
      </c>
      <c r="J144" s="2" t="str">
        <f t="shared" si="5"/>
        <v>Pending</v>
      </c>
      <c r="K144" s="2" t="s">
        <v>187</v>
      </c>
    </row>
    <row r="145" spans="1:11" ht="86.1" customHeight="1">
      <c r="A145" t="s">
        <v>301</v>
      </c>
      <c r="B145" t="s">
        <v>268</v>
      </c>
      <c r="C145" t="s">
        <v>71</v>
      </c>
      <c r="D145" t="s">
        <v>16</v>
      </c>
      <c r="E145" s="6" t="s">
        <v>35</v>
      </c>
      <c r="F145">
        <v>3</v>
      </c>
      <c r="G145">
        <f>COUNT('Criterion review'!G300:G302)</f>
        <v>0</v>
      </c>
      <c r="H145">
        <f>SUM('Criterion review'!G300:G302)</f>
        <v>0</v>
      </c>
      <c r="I145" s="2">
        <f t="shared" si="6"/>
        <v>0</v>
      </c>
      <c r="J145" s="2" t="str">
        <f t="shared" si="5"/>
        <v>Pending</v>
      </c>
      <c r="K145" s="2" t="s">
        <v>189</v>
      </c>
    </row>
    <row r="146" spans="1:11" ht="86.1" customHeight="1">
      <c r="A146" t="s">
        <v>302</v>
      </c>
      <c r="B146" t="s">
        <v>268</v>
      </c>
      <c r="C146" t="s">
        <v>73</v>
      </c>
      <c r="D146" t="s">
        <v>16</v>
      </c>
      <c r="E146" s="6" t="s">
        <v>35</v>
      </c>
      <c r="F146">
        <v>3</v>
      </c>
      <c r="G146">
        <f>COUNT('Criterion review'!G303:G305)</f>
        <v>0</v>
      </c>
      <c r="H146">
        <f>SUM('Criterion review'!G303:G305)</f>
        <v>0</v>
      </c>
      <c r="I146" s="2">
        <f t="shared" si="6"/>
        <v>0</v>
      </c>
      <c r="J146" s="2" t="str">
        <f t="shared" si="5"/>
        <v>Pending</v>
      </c>
      <c r="K146" s="2" t="s">
        <v>191</v>
      </c>
    </row>
    <row r="147" spans="1:11" ht="86.1" customHeight="1">
      <c r="A147" t="s">
        <v>303</v>
      </c>
      <c r="B147" t="s">
        <v>268</v>
      </c>
      <c r="C147" t="s">
        <v>75</v>
      </c>
      <c r="D147" t="s">
        <v>16</v>
      </c>
      <c r="E147" s="6" t="s">
        <v>35</v>
      </c>
      <c r="F147">
        <v>2</v>
      </c>
      <c r="G147">
        <f>COUNT('Criterion review'!G306:G307)</f>
        <v>0</v>
      </c>
      <c r="H147">
        <f>SUM('Criterion review'!G306:G307)</f>
        <v>0</v>
      </c>
      <c r="I147" s="2" t="str">
        <f t="shared" si="6"/>
        <v/>
      </c>
      <c r="J147" s="2" t="str">
        <f t="shared" si="5"/>
        <v>Pending</v>
      </c>
      <c r="K147" s="2" t="s">
        <v>193</v>
      </c>
    </row>
    <row r="148" spans="1:11" ht="86.1" customHeight="1">
      <c r="A148" t="s">
        <v>304</v>
      </c>
      <c r="B148" t="s">
        <v>268</v>
      </c>
      <c r="C148" t="s">
        <v>77</v>
      </c>
      <c r="D148" t="s">
        <v>16</v>
      </c>
      <c r="E148" s="6" t="s">
        <v>35</v>
      </c>
      <c r="F148">
        <v>2</v>
      </c>
      <c r="G148">
        <f>COUNT('Criterion review'!G308:G309)</f>
        <v>0</v>
      </c>
      <c r="H148">
        <f>SUM('Criterion review'!G308:G309)</f>
        <v>0</v>
      </c>
      <c r="I148" s="2">
        <f t="shared" si="6"/>
        <v>0</v>
      </c>
      <c r="J148" s="2" t="str">
        <f t="shared" si="5"/>
        <v>Pending</v>
      </c>
      <c r="K148" s="2" t="s">
        <v>195</v>
      </c>
    </row>
    <row r="149" spans="1:11" ht="86.1" customHeight="1">
      <c r="A149" t="s">
        <v>305</v>
      </c>
      <c r="B149" t="s">
        <v>268</v>
      </c>
      <c r="C149" t="s">
        <v>79</v>
      </c>
      <c r="D149" t="s">
        <v>16</v>
      </c>
      <c r="E149" s="6" t="s">
        <v>35</v>
      </c>
      <c r="F149">
        <v>1</v>
      </c>
      <c r="G149">
        <f>COUNT('Criterion review'!G310:G310)</f>
        <v>0</v>
      </c>
      <c r="H149">
        <f>SUM('Criterion review'!G310:G310)</f>
        <v>0</v>
      </c>
      <c r="I149" s="2">
        <f t="shared" si="6"/>
        <v>0</v>
      </c>
      <c r="J149" s="2" t="str">
        <f t="shared" si="5"/>
        <v>Pending</v>
      </c>
      <c r="K149" s="2" t="s">
        <v>197</v>
      </c>
    </row>
    <row r="150" spans="1:11" ht="86.1" customHeight="1">
      <c r="A150" t="s">
        <v>306</v>
      </c>
      <c r="B150" t="s">
        <v>268</v>
      </c>
      <c r="C150" t="s">
        <v>81</v>
      </c>
      <c r="D150" t="s">
        <v>16</v>
      </c>
      <c r="E150" s="6" t="s">
        <v>35</v>
      </c>
      <c r="F150">
        <v>2</v>
      </c>
      <c r="G150">
        <f>COUNT('Criterion review'!G311:G312)</f>
        <v>0</v>
      </c>
      <c r="H150">
        <f>SUM('Criterion review'!G311:G312)</f>
        <v>0</v>
      </c>
      <c r="I150" s="2" t="str">
        <f t="shared" si="6"/>
        <v/>
      </c>
      <c r="J150" s="2" t="str">
        <f t="shared" si="5"/>
        <v>Pending</v>
      </c>
      <c r="K150" s="2" t="s">
        <v>199</v>
      </c>
    </row>
    <row r="151" spans="1:11" ht="86.1" customHeight="1">
      <c r="A151" t="s">
        <v>307</v>
      </c>
      <c r="B151" t="s">
        <v>268</v>
      </c>
      <c r="C151" t="s">
        <v>83</v>
      </c>
      <c r="D151" t="s">
        <v>16</v>
      </c>
      <c r="E151" s="6" t="s">
        <v>35</v>
      </c>
      <c r="F151">
        <v>2</v>
      </c>
      <c r="G151">
        <f>COUNT('Criterion review'!G313:G314)</f>
        <v>0</v>
      </c>
      <c r="H151">
        <f>SUM('Criterion review'!G313:G314)</f>
        <v>0</v>
      </c>
      <c r="I151" s="2">
        <f t="shared" si="6"/>
        <v>0</v>
      </c>
      <c r="J151" s="2" t="str">
        <f t="shared" si="5"/>
        <v>Pending</v>
      </c>
      <c r="K151" s="2" t="s">
        <v>201</v>
      </c>
    </row>
    <row r="152" spans="1:11" ht="86.1" customHeight="1">
      <c r="A152" t="s">
        <v>308</v>
      </c>
      <c r="B152" t="s">
        <v>268</v>
      </c>
      <c r="C152" t="s">
        <v>85</v>
      </c>
      <c r="D152" t="s">
        <v>16</v>
      </c>
      <c r="E152" s="6" t="s">
        <v>35</v>
      </c>
      <c r="F152">
        <v>2</v>
      </c>
      <c r="G152">
        <f>COUNT('Criterion review'!G315:G316)</f>
        <v>0</v>
      </c>
      <c r="H152">
        <f>SUM('Criterion review'!G315:G316)</f>
        <v>0</v>
      </c>
      <c r="I152" s="2">
        <f t="shared" si="6"/>
        <v>0</v>
      </c>
      <c r="J152" s="2" t="str">
        <f t="shared" si="5"/>
        <v>Pending</v>
      </c>
      <c r="K152" s="2" t="s">
        <v>203</v>
      </c>
    </row>
    <row r="153" spans="1:11" ht="86.1" customHeight="1">
      <c r="A153" t="s">
        <v>309</v>
      </c>
      <c r="B153" t="s">
        <v>268</v>
      </c>
      <c r="C153" t="s">
        <v>87</v>
      </c>
      <c r="D153" t="s">
        <v>16</v>
      </c>
      <c r="E153" s="6" t="s">
        <v>35</v>
      </c>
      <c r="F153">
        <v>2</v>
      </c>
      <c r="G153">
        <f>COUNT('Criterion review'!G317:G318)</f>
        <v>0</v>
      </c>
      <c r="H153">
        <f>SUM('Criterion review'!G317:G318)</f>
        <v>0</v>
      </c>
      <c r="I153" s="2">
        <f t="shared" si="6"/>
        <v>0</v>
      </c>
      <c r="J153" s="2" t="str">
        <f t="shared" si="5"/>
        <v>Pending</v>
      </c>
      <c r="K153" s="2" t="s">
        <v>205</v>
      </c>
    </row>
    <row r="154" spans="1:11" ht="86.1" customHeight="1">
      <c r="A154" t="s">
        <v>310</v>
      </c>
      <c r="B154" t="s">
        <v>268</v>
      </c>
      <c r="C154" t="s">
        <v>89</v>
      </c>
      <c r="D154" t="s">
        <v>16</v>
      </c>
      <c r="E154" s="6" t="s">
        <v>35</v>
      </c>
      <c r="F154">
        <v>1</v>
      </c>
      <c r="G154">
        <f>COUNT('Criterion review'!G319:G319)</f>
        <v>0</v>
      </c>
      <c r="H154">
        <f>SUM('Criterion review'!G319:G319)</f>
        <v>0</v>
      </c>
      <c r="I154" s="2">
        <f t="shared" si="6"/>
        <v>0</v>
      </c>
      <c r="J154" s="2" t="str">
        <f t="shared" si="5"/>
        <v>Pending</v>
      </c>
      <c r="K154" s="2" t="s">
        <v>207</v>
      </c>
    </row>
    <row r="155" spans="1:11" ht="86.1" customHeight="1">
      <c r="A155" t="s">
        <v>311</v>
      </c>
      <c r="B155" t="s">
        <v>268</v>
      </c>
      <c r="C155" t="s">
        <v>15</v>
      </c>
      <c r="D155" t="s">
        <v>91</v>
      </c>
      <c r="E155" s="6" t="s">
        <v>312</v>
      </c>
      <c r="F155">
        <v>2</v>
      </c>
      <c r="G155">
        <f>COUNT('Criterion review'!G320:G321)</f>
        <v>0</v>
      </c>
      <c r="H155">
        <f>SUM('Criterion review'!G320:G321)</f>
        <v>0</v>
      </c>
      <c r="I155" s="1">
        <v>0</v>
      </c>
      <c r="J155" t="str">
        <f t="shared" si="5"/>
        <v>Pending</v>
      </c>
      <c r="K155" s="1"/>
    </row>
    <row r="156" spans="1:11" ht="86.1" customHeight="1">
      <c r="A156" t="s">
        <v>313</v>
      </c>
      <c r="B156" t="s">
        <v>268</v>
      </c>
      <c r="C156" t="s">
        <v>19</v>
      </c>
      <c r="D156" t="s">
        <v>91</v>
      </c>
      <c r="E156" s="6" t="s">
        <v>314</v>
      </c>
      <c r="F156">
        <v>2</v>
      </c>
      <c r="G156">
        <f>COUNT('Criterion review'!G322:G323)</f>
        <v>0</v>
      </c>
      <c r="H156">
        <f>SUM('Criterion review'!G322:G323)</f>
        <v>0</v>
      </c>
      <c r="I156" s="1">
        <v>0</v>
      </c>
      <c r="J156" t="str">
        <f t="shared" si="5"/>
        <v>Pending</v>
      </c>
      <c r="K156" s="1"/>
    </row>
    <row r="157" spans="1:11" ht="86.1" customHeight="1">
      <c r="A157" t="s">
        <v>315</v>
      </c>
      <c r="B157" t="s">
        <v>268</v>
      </c>
      <c r="C157" t="s">
        <v>22</v>
      </c>
      <c r="D157" t="s">
        <v>91</v>
      </c>
      <c r="E157" s="6" t="s">
        <v>316</v>
      </c>
      <c r="F157">
        <v>2</v>
      </c>
      <c r="G157">
        <f>COUNT('Criterion review'!G324:G325)</f>
        <v>0</v>
      </c>
      <c r="H157">
        <f>SUM('Criterion review'!G324:G325)</f>
        <v>0</v>
      </c>
      <c r="I157" s="1">
        <v>0</v>
      </c>
      <c r="J157" t="str">
        <f t="shared" si="5"/>
        <v>Pending</v>
      </c>
      <c r="K157" s="1"/>
    </row>
    <row r="158" spans="1:11" ht="86.1" customHeight="1">
      <c r="A158" t="s">
        <v>317</v>
      </c>
      <c r="B158" t="s">
        <v>268</v>
      </c>
      <c r="C158" t="s">
        <v>25</v>
      </c>
      <c r="D158" t="s">
        <v>91</v>
      </c>
      <c r="E158" s="6" t="s">
        <v>318</v>
      </c>
      <c r="F158">
        <v>3</v>
      </c>
      <c r="G158">
        <f>COUNT('Criterion review'!G326:G328)</f>
        <v>0</v>
      </c>
      <c r="H158">
        <f>SUM('Criterion review'!G326:G328)</f>
        <v>0</v>
      </c>
      <c r="I158" s="1">
        <v>0</v>
      </c>
      <c r="J158" t="str">
        <f t="shared" si="5"/>
        <v>Pending</v>
      </c>
      <c r="K158" s="1"/>
    </row>
    <row r="159" spans="1:11" ht="86.1" customHeight="1">
      <c r="A159" t="s">
        <v>319</v>
      </c>
      <c r="B159" t="s">
        <v>268</v>
      </c>
      <c r="C159" t="s">
        <v>28</v>
      </c>
      <c r="D159" t="s">
        <v>91</v>
      </c>
      <c r="E159" s="6" t="s">
        <v>320</v>
      </c>
      <c r="F159">
        <v>2</v>
      </c>
      <c r="G159">
        <f>COUNT('Criterion review'!G329:G330)</f>
        <v>0</v>
      </c>
      <c r="H159">
        <f>SUM('Criterion review'!G329:G330)</f>
        <v>0</v>
      </c>
      <c r="I159" s="1">
        <v>0</v>
      </c>
      <c r="J159" t="str">
        <f t="shared" si="5"/>
        <v>Pending</v>
      </c>
      <c r="K159" s="1"/>
    </row>
    <row r="160" spans="1:11" ht="86.1" customHeight="1">
      <c r="A160" t="s">
        <v>321</v>
      </c>
      <c r="B160" t="s">
        <v>268</v>
      </c>
      <c r="C160" t="s">
        <v>31</v>
      </c>
      <c r="D160" t="s">
        <v>91</v>
      </c>
      <c r="E160" s="6" t="s">
        <v>322</v>
      </c>
      <c r="F160">
        <v>2</v>
      </c>
      <c r="G160">
        <f>COUNT('Criterion review'!G331:G332)</f>
        <v>0</v>
      </c>
      <c r="H160">
        <f>SUM('Criterion review'!G331:G332)</f>
        <v>0</v>
      </c>
      <c r="I160" s="1">
        <v>0</v>
      </c>
      <c r="J160" t="str">
        <f t="shared" si="5"/>
        <v>Pending</v>
      </c>
      <c r="K160" s="1"/>
    </row>
    <row r="161" spans="1:11" ht="86.1" customHeight="1">
      <c r="A161" t="s">
        <v>323</v>
      </c>
      <c r="B161" t="s">
        <v>268</v>
      </c>
      <c r="C161" t="s">
        <v>34</v>
      </c>
      <c r="D161" t="s">
        <v>91</v>
      </c>
      <c r="E161" s="6" t="s">
        <v>324</v>
      </c>
      <c r="F161">
        <v>2</v>
      </c>
      <c r="G161">
        <f>COUNT('Criterion review'!G333:G334)</f>
        <v>0</v>
      </c>
      <c r="H161">
        <f>SUM('Criterion review'!G333:G334)</f>
        <v>0</v>
      </c>
      <c r="I161" s="1">
        <v>0</v>
      </c>
      <c r="J161" t="str">
        <f t="shared" si="5"/>
        <v>Pending</v>
      </c>
      <c r="K161" s="1"/>
    </row>
    <row r="162" spans="1:11" ht="86.1" customHeight="1">
      <c r="A162" t="s">
        <v>325</v>
      </c>
      <c r="B162" t="s">
        <v>268</v>
      </c>
      <c r="C162" t="s">
        <v>37</v>
      </c>
      <c r="D162" t="s">
        <v>91</v>
      </c>
      <c r="E162" s="6" t="s">
        <v>326</v>
      </c>
      <c r="F162">
        <v>3</v>
      </c>
      <c r="G162">
        <f>COUNT('Criterion review'!G335:G337)</f>
        <v>0</v>
      </c>
      <c r="H162">
        <f>SUM('Criterion review'!G335:G337)</f>
        <v>0</v>
      </c>
      <c r="I162" s="1">
        <v>0</v>
      </c>
      <c r="J162" t="str">
        <f t="shared" si="5"/>
        <v>Pending</v>
      </c>
      <c r="K162" s="1"/>
    </row>
    <row r="163" spans="1:11" ht="86.1" customHeight="1">
      <c r="A163" t="s">
        <v>327</v>
      </c>
      <c r="B163" t="s">
        <v>268</v>
      </c>
      <c r="C163" t="s">
        <v>40</v>
      </c>
      <c r="D163" t="s">
        <v>91</v>
      </c>
      <c r="E163" s="6" t="s">
        <v>328</v>
      </c>
      <c r="F163">
        <v>2</v>
      </c>
      <c r="G163">
        <f>COUNT('Criterion review'!G338:G339)</f>
        <v>0</v>
      </c>
      <c r="H163">
        <f>SUM('Criterion review'!G338:G339)</f>
        <v>0</v>
      </c>
      <c r="I163" s="1">
        <v>0</v>
      </c>
      <c r="J163" t="str">
        <f t="shared" si="5"/>
        <v>Pending</v>
      </c>
      <c r="K163" s="1"/>
    </row>
    <row r="164" spans="1:11" ht="86.1" customHeight="1">
      <c r="A164" t="s">
        <v>329</v>
      </c>
      <c r="B164" t="s">
        <v>268</v>
      </c>
      <c r="C164" t="s">
        <v>42</v>
      </c>
      <c r="D164" t="s">
        <v>91</v>
      </c>
      <c r="E164" s="6" t="s">
        <v>330</v>
      </c>
      <c r="F164">
        <v>3</v>
      </c>
      <c r="G164">
        <f>COUNT('Criterion review'!G340:G342)</f>
        <v>0</v>
      </c>
      <c r="H164">
        <f>SUM('Criterion review'!G340:G342)</f>
        <v>0</v>
      </c>
      <c r="I164" s="1">
        <v>0</v>
      </c>
      <c r="J164" t="str">
        <f t="shared" si="5"/>
        <v>Pending</v>
      </c>
      <c r="K164" s="1"/>
    </row>
    <row r="165" spans="1:11" ht="86.1" customHeight="1">
      <c r="A165" t="s">
        <v>331</v>
      </c>
      <c r="B165" t="s">
        <v>268</v>
      </c>
      <c r="C165" t="s">
        <v>45</v>
      </c>
      <c r="D165" t="s">
        <v>91</v>
      </c>
      <c r="E165" s="6" t="s">
        <v>332</v>
      </c>
      <c r="F165">
        <v>2</v>
      </c>
      <c r="G165">
        <f>COUNT('Criterion review'!G343:G344)</f>
        <v>0</v>
      </c>
      <c r="H165">
        <f>SUM('Criterion review'!G343:G344)</f>
        <v>0</v>
      </c>
      <c r="I165" s="1">
        <v>0</v>
      </c>
      <c r="J165" t="str">
        <f t="shared" ref="J165:J196" si="7">IF(OR(G165&lt;F165,COUNT(I165)=0),"Pending",IF(AND(H165=F165,I165=0),"Correct","Incorrect"))</f>
        <v>Pending</v>
      </c>
      <c r="K165" s="1"/>
    </row>
    <row r="166" spans="1:11" ht="86.1" customHeight="1">
      <c r="A166" t="s">
        <v>333</v>
      </c>
      <c r="B166" t="s">
        <v>268</v>
      </c>
      <c r="C166" t="s">
        <v>47</v>
      </c>
      <c r="D166" t="s">
        <v>91</v>
      </c>
      <c r="E166" s="6" t="s">
        <v>334</v>
      </c>
      <c r="F166">
        <v>2</v>
      </c>
      <c r="G166">
        <f>COUNT('Criterion review'!G345:G346)</f>
        <v>0</v>
      </c>
      <c r="H166">
        <f>SUM('Criterion review'!G345:G346)</f>
        <v>0</v>
      </c>
      <c r="I166" s="1">
        <v>0</v>
      </c>
      <c r="J166" t="str">
        <f t="shared" si="7"/>
        <v>Pending</v>
      </c>
      <c r="K166" s="1"/>
    </row>
    <row r="167" spans="1:11" ht="86.1" customHeight="1">
      <c r="A167" t="s">
        <v>335</v>
      </c>
      <c r="B167" t="s">
        <v>268</v>
      </c>
      <c r="C167" t="s">
        <v>50</v>
      </c>
      <c r="D167" t="s">
        <v>91</v>
      </c>
      <c r="E167" s="6"/>
      <c r="F167">
        <v>2</v>
      </c>
      <c r="G167">
        <f>COUNT('Criterion review'!G347:G348)</f>
        <v>0</v>
      </c>
      <c r="H167">
        <f>SUM('Criterion review'!G347:G348)</f>
        <v>0</v>
      </c>
      <c r="I167" s="1">
        <v>0</v>
      </c>
      <c r="J167" t="str">
        <f t="shared" si="7"/>
        <v>Pending</v>
      </c>
      <c r="K167" s="1" t="s">
        <v>92</v>
      </c>
    </row>
    <row r="168" spans="1:11" ht="86.1" customHeight="1">
      <c r="A168" t="s">
        <v>336</v>
      </c>
      <c r="B168" t="s">
        <v>268</v>
      </c>
      <c r="C168" t="s">
        <v>53</v>
      </c>
      <c r="D168" t="s">
        <v>91</v>
      </c>
      <c r="E168" s="6"/>
      <c r="F168">
        <v>2</v>
      </c>
      <c r="G168">
        <f>COUNT('Criterion review'!G349:G350)</f>
        <v>0</v>
      </c>
      <c r="H168">
        <f>SUM('Criterion review'!G349:G350)</f>
        <v>0</v>
      </c>
      <c r="I168" s="1">
        <v>0</v>
      </c>
      <c r="J168" t="str">
        <f t="shared" si="7"/>
        <v>Pending</v>
      </c>
      <c r="K168" s="1" t="s">
        <v>92</v>
      </c>
    </row>
    <row r="169" spans="1:11" ht="86.1" customHeight="1">
      <c r="A169" t="s">
        <v>337</v>
      </c>
      <c r="B169" t="s">
        <v>268</v>
      </c>
      <c r="C169" t="s">
        <v>56</v>
      </c>
      <c r="D169" t="s">
        <v>91</v>
      </c>
      <c r="E169" s="6" t="s">
        <v>338</v>
      </c>
      <c r="F169">
        <v>2</v>
      </c>
      <c r="G169">
        <f>COUNT('Criterion review'!G351:G352)</f>
        <v>0</v>
      </c>
      <c r="H169">
        <f>SUM('Criterion review'!G351:G352)</f>
        <v>0</v>
      </c>
      <c r="I169" s="1">
        <v>0</v>
      </c>
      <c r="J169" t="str">
        <f t="shared" si="7"/>
        <v>Pending</v>
      </c>
      <c r="K169" s="1"/>
    </row>
    <row r="170" spans="1:11" ht="86.1" customHeight="1">
      <c r="A170" t="s">
        <v>339</v>
      </c>
      <c r="B170" t="s">
        <v>268</v>
      </c>
      <c r="C170" t="s">
        <v>58</v>
      </c>
      <c r="D170" t="s">
        <v>91</v>
      </c>
      <c r="E170" s="6" t="s">
        <v>340</v>
      </c>
      <c r="F170">
        <v>2</v>
      </c>
      <c r="G170">
        <f>COUNT('Criterion review'!G353:G354)</f>
        <v>0</v>
      </c>
      <c r="H170">
        <f>SUM('Criterion review'!G353:G354)</f>
        <v>0</v>
      </c>
      <c r="I170" s="1">
        <v>0</v>
      </c>
      <c r="J170" t="str">
        <f t="shared" si="7"/>
        <v>Pending</v>
      </c>
      <c r="K170" s="1"/>
    </row>
    <row r="171" spans="1:11" ht="86.1" customHeight="1">
      <c r="A171" t="s">
        <v>341</v>
      </c>
      <c r="B171" t="s">
        <v>268</v>
      </c>
      <c r="C171" t="s">
        <v>61</v>
      </c>
      <c r="D171" t="s">
        <v>91</v>
      </c>
      <c r="E171" s="6" t="s">
        <v>342</v>
      </c>
      <c r="F171">
        <v>2</v>
      </c>
      <c r="G171">
        <f>COUNT('Criterion review'!G355:G356)</f>
        <v>0</v>
      </c>
      <c r="H171">
        <f>SUM('Criterion review'!G355:G356)</f>
        <v>0</v>
      </c>
      <c r="I171" s="1">
        <v>0</v>
      </c>
      <c r="J171" t="str">
        <f t="shared" si="7"/>
        <v>Pending</v>
      </c>
      <c r="K171" s="1"/>
    </row>
    <row r="172" spans="1:11" ht="86.1" customHeight="1">
      <c r="A172" t="s">
        <v>343</v>
      </c>
      <c r="B172" t="s">
        <v>268</v>
      </c>
      <c r="C172" t="s">
        <v>64</v>
      </c>
      <c r="D172" t="s">
        <v>91</v>
      </c>
      <c r="E172" s="6"/>
      <c r="F172">
        <v>2</v>
      </c>
      <c r="G172">
        <f>COUNT('Criterion review'!G357:G358)</f>
        <v>0</v>
      </c>
      <c r="H172">
        <f>SUM('Criterion review'!G357:G358)</f>
        <v>0</v>
      </c>
      <c r="I172" s="2">
        <f>IF(COUNT(I52)=0,"",I52)</f>
        <v>0</v>
      </c>
      <c r="J172" s="2" t="str">
        <f t="shared" si="7"/>
        <v>Pending</v>
      </c>
      <c r="K172" s="2" t="s">
        <v>344</v>
      </c>
    </row>
    <row r="173" spans="1:11" ht="86.1" customHeight="1">
      <c r="A173" t="s">
        <v>345</v>
      </c>
      <c r="B173" t="s">
        <v>268</v>
      </c>
      <c r="C173" t="s">
        <v>67</v>
      </c>
      <c r="D173" t="s">
        <v>91</v>
      </c>
      <c r="E173" s="6" t="s">
        <v>346</v>
      </c>
      <c r="F173">
        <v>2</v>
      </c>
      <c r="G173">
        <f>COUNT('Criterion review'!G359:G360)</f>
        <v>0</v>
      </c>
      <c r="H173">
        <f>SUM('Criterion review'!G359:G360)</f>
        <v>0</v>
      </c>
      <c r="I173" s="1">
        <v>0</v>
      </c>
      <c r="J173" t="str">
        <f t="shared" si="7"/>
        <v>Pending</v>
      </c>
      <c r="K173" s="1"/>
    </row>
    <row r="174" spans="1:11" ht="86.1" customHeight="1">
      <c r="A174" t="s">
        <v>347</v>
      </c>
      <c r="B174" t="s">
        <v>268</v>
      </c>
      <c r="C174" t="s">
        <v>69</v>
      </c>
      <c r="D174" t="s">
        <v>91</v>
      </c>
      <c r="E174" s="6" t="s">
        <v>348</v>
      </c>
      <c r="F174">
        <v>2</v>
      </c>
      <c r="G174">
        <f>COUNT('Criterion review'!G361:G362)</f>
        <v>0</v>
      </c>
      <c r="H174">
        <f>SUM('Criterion review'!G361:G362)</f>
        <v>0</v>
      </c>
      <c r="I174" s="1">
        <v>0</v>
      </c>
      <c r="J174" t="str">
        <f t="shared" si="7"/>
        <v>Pending</v>
      </c>
      <c r="K174" s="1"/>
    </row>
    <row r="175" spans="1:11" ht="86.1" customHeight="1">
      <c r="A175" t="s">
        <v>349</v>
      </c>
      <c r="B175" t="s">
        <v>268</v>
      </c>
      <c r="C175" t="s">
        <v>71</v>
      </c>
      <c r="D175" t="s">
        <v>91</v>
      </c>
      <c r="E175" s="6" t="s">
        <v>350</v>
      </c>
      <c r="F175">
        <v>3</v>
      </c>
      <c r="G175">
        <f>COUNT('Criterion review'!G363:G365)</f>
        <v>0</v>
      </c>
      <c r="H175">
        <f>SUM('Criterion review'!G363:G365)</f>
        <v>0</v>
      </c>
      <c r="I175" s="1">
        <v>0</v>
      </c>
      <c r="J175" t="str">
        <f t="shared" si="7"/>
        <v>Pending</v>
      </c>
      <c r="K175" s="1"/>
    </row>
    <row r="176" spans="1:11" ht="86.1" customHeight="1">
      <c r="A176" t="s">
        <v>351</v>
      </c>
      <c r="B176" t="s">
        <v>268</v>
      </c>
      <c r="C176" t="s">
        <v>73</v>
      </c>
      <c r="D176" t="s">
        <v>91</v>
      </c>
      <c r="E176" s="6" t="s">
        <v>352</v>
      </c>
      <c r="F176">
        <v>3</v>
      </c>
      <c r="G176">
        <f>COUNT('Criterion review'!G366:G368)</f>
        <v>0</v>
      </c>
      <c r="H176">
        <f>SUM('Criterion review'!G366:G368)</f>
        <v>0</v>
      </c>
      <c r="I176" s="1"/>
      <c r="J176" t="str">
        <f t="shared" si="7"/>
        <v>Pending</v>
      </c>
      <c r="K176" s="1"/>
    </row>
    <row r="177" spans="1:11" ht="86.1" customHeight="1">
      <c r="A177" t="s">
        <v>353</v>
      </c>
      <c r="B177" t="s">
        <v>268</v>
      </c>
      <c r="C177" t="s">
        <v>75</v>
      </c>
      <c r="D177" t="s">
        <v>91</v>
      </c>
      <c r="E177" s="6" t="s">
        <v>354</v>
      </c>
      <c r="F177">
        <v>2</v>
      </c>
      <c r="G177">
        <f>COUNT('Criterion review'!G369:G370)</f>
        <v>0</v>
      </c>
      <c r="H177">
        <f>SUM('Criterion review'!G369:G370)</f>
        <v>0</v>
      </c>
      <c r="I177" s="1">
        <v>0</v>
      </c>
      <c r="J177" t="str">
        <f t="shared" si="7"/>
        <v>Pending</v>
      </c>
      <c r="K177" s="1"/>
    </row>
    <row r="178" spans="1:11" ht="86.1" customHeight="1">
      <c r="A178" t="s">
        <v>355</v>
      </c>
      <c r="B178" t="s">
        <v>268</v>
      </c>
      <c r="C178" t="s">
        <v>77</v>
      </c>
      <c r="D178" t="s">
        <v>91</v>
      </c>
      <c r="E178" s="6" t="s">
        <v>356</v>
      </c>
      <c r="F178">
        <v>2</v>
      </c>
      <c r="G178">
        <f>COUNT('Criterion review'!G371:G372)</f>
        <v>0</v>
      </c>
      <c r="H178">
        <f>SUM('Criterion review'!G371:G372)</f>
        <v>0</v>
      </c>
      <c r="I178" s="1">
        <v>0</v>
      </c>
      <c r="J178" t="str">
        <f t="shared" si="7"/>
        <v>Pending</v>
      </c>
      <c r="K178" s="1"/>
    </row>
    <row r="179" spans="1:11" ht="86.1" customHeight="1">
      <c r="A179" t="s">
        <v>357</v>
      </c>
      <c r="B179" t="s">
        <v>268</v>
      </c>
      <c r="C179" t="s">
        <v>79</v>
      </c>
      <c r="D179" t="s">
        <v>91</v>
      </c>
      <c r="E179" s="6" t="s">
        <v>137</v>
      </c>
      <c r="F179">
        <v>1</v>
      </c>
      <c r="G179">
        <f>COUNT('Criterion review'!G373:G373)</f>
        <v>0</v>
      </c>
      <c r="H179">
        <f>SUM('Criterion review'!G373:G373)</f>
        <v>0</v>
      </c>
      <c r="I179" s="2">
        <f>IF(COUNT(I59)=0,"",I59)</f>
        <v>0</v>
      </c>
      <c r="J179" s="2" t="str">
        <f t="shared" si="7"/>
        <v>Pending</v>
      </c>
      <c r="K179" s="2" t="s">
        <v>358</v>
      </c>
    </row>
    <row r="180" spans="1:11" ht="86.1" customHeight="1">
      <c r="A180" t="s">
        <v>359</v>
      </c>
      <c r="B180" t="s">
        <v>268</v>
      </c>
      <c r="C180" t="s">
        <v>81</v>
      </c>
      <c r="D180" t="s">
        <v>91</v>
      </c>
      <c r="E180" s="6"/>
      <c r="F180">
        <v>2</v>
      </c>
      <c r="G180">
        <f>COUNT('Criterion review'!G374:G375)</f>
        <v>0</v>
      </c>
      <c r="H180">
        <f>SUM('Criterion review'!G374:G375)</f>
        <v>0</v>
      </c>
      <c r="I180" s="2">
        <f>IF(COUNT(I60)=0,"",I60)</f>
        <v>0</v>
      </c>
      <c r="J180" s="2" t="str">
        <f t="shared" si="7"/>
        <v>Pending</v>
      </c>
      <c r="K180" s="2" t="s">
        <v>360</v>
      </c>
    </row>
    <row r="181" spans="1:11" ht="86.1" customHeight="1">
      <c r="A181" t="s">
        <v>361</v>
      </c>
      <c r="B181" t="s">
        <v>268</v>
      </c>
      <c r="C181" t="s">
        <v>83</v>
      </c>
      <c r="D181" t="s">
        <v>91</v>
      </c>
      <c r="E181" s="6" t="s">
        <v>362</v>
      </c>
      <c r="F181">
        <v>2</v>
      </c>
      <c r="G181">
        <f>COUNT('Criterion review'!G376:G377)</f>
        <v>0</v>
      </c>
      <c r="H181">
        <f>SUM('Criterion review'!G376:G377)</f>
        <v>0</v>
      </c>
      <c r="I181" s="1">
        <v>0</v>
      </c>
      <c r="J181" t="str">
        <f t="shared" si="7"/>
        <v>Pending</v>
      </c>
      <c r="K181" s="1"/>
    </row>
    <row r="182" spans="1:11" ht="86.1" customHeight="1">
      <c r="A182" t="s">
        <v>363</v>
      </c>
      <c r="B182" t="s">
        <v>268</v>
      </c>
      <c r="C182" t="s">
        <v>85</v>
      </c>
      <c r="D182" t="s">
        <v>91</v>
      </c>
      <c r="E182" s="6" t="s">
        <v>364</v>
      </c>
      <c r="F182">
        <v>2</v>
      </c>
      <c r="G182">
        <f>COUNT('Criterion review'!G378:G379)</f>
        <v>0</v>
      </c>
      <c r="H182">
        <f>SUM('Criterion review'!G378:G379)</f>
        <v>0</v>
      </c>
      <c r="I182" s="1"/>
      <c r="J182" t="str">
        <f t="shared" si="7"/>
        <v>Pending</v>
      </c>
      <c r="K182" s="1"/>
    </row>
    <row r="183" spans="1:11" ht="86.1" customHeight="1">
      <c r="A183" t="s">
        <v>365</v>
      </c>
      <c r="B183" t="s">
        <v>268</v>
      </c>
      <c r="C183" t="s">
        <v>87</v>
      </c>
      <c r="D183" t="s">
        <v>91</v>
      </c>
      <c r="E183" s="6" t="s">
        <v>366</v>
      </c>
      <c r="F183">
        <v>2</v>
      </c>
      <c r="G183">
        <f>COUNT('Criterion review'!G380:G381)</f>
        <v>0</v>
      </c>
      <c r="H183">
        <f>SUM('Criterion review'!G380:G381)</f>
        <v>0</v>
      </c>
      <c r="I183" s="1">
        <v>0</v>
      </c>
      <c r="J183" t="str">
        <f t="shared" si="7"/>
        <v>Pending</v>
      </c>
      <c r="K183" s="1"/>
    </row>
    <row r="184" spans="1:11" ht="86.1" customHeight="1">
      <c r="A184" t="s">
        <v>367</v>
      </c>
      <c r="B184" t="s">
        <v>268</v>
      </c>
      <c r="C184" t="s">
        <v>89</v>
      </c>
      <c r="D184" t="s">
        <v>91</v>
      </c>
      <c r="E184" s="6" t="s">
        <v>368</v>
      </c>
      <c r="F184">
        <v>1</v>
      </c>
      <c r="G184">
        <f>COUNT('Criterion review'!G382:G382)</f>
        <v>0</v>
      </c>
      <c r="H184">
        <f>SUM('Criterion review'!G382:G382)</f>
        <v>0</v>
      </c>
      <c r="I184" s="1">
        <v>0</v>
      </c>
      <c r="J184" t="str">
        <f t="shared" si="7"/>
        <v>Pending</v>
      </c>
      <c r="K184" s="1"/>
    </row>
    <row r="187" spans="1:11">
      <c r="A187" t="s">
        <v>369</v>
      </c>
    </row>
  </sheetData>
  <phoneticPr fontId="7" type="noConversion"/>
  <dataValidations count="1">
    <dataValidation type="whole" sqref="I123:I184 I5:I121" xr:uid="{00000000-0002-0000-0000-000000000000}">
      <formula1>0</formula1>
      <formula2>1</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385"/>
  <sheetViews>
    <sheetView showGridLines="0" workbookViewId="0">
      <pane ySplit="4" topLeftCell="A5" activePane="bottomLeft" state="frozen"/>
      <selection pane="bottomLeft"/>
    </sheetView>
  </sheetViews>
  <sheetFormatPr defaultRowHeight="14.25"/>
  <cols>
    <col min="1" max="1" width="14" customWidth="1"/>
    <col min="2" max="2" width="10" customWidth="1"/>
    <col min="3" max="4" width="15" customWidth="1"/>
    <col min="5" max="5" width="44" customWidth="1"/>
    <col min="6" max="6" width="72" customWidth="1"/>
    <col min="7" max="7" width="22" customWidth="1"/>
    <col min="8" max="8" width="48" customWidth="1"/>
    <col min="9" max="9" width="55" customWidth="1"/>
  </cols>
  <sheetData>
    <row r="2" spans="1:9" ht="18">
      <c r="A2" s="4" t="s">
        <v>370</v>
      </c>
    </row>
    <row r="3" spans="1:9">
      <c r="A3" s="5" t="s">
        <v>371</v>
      </c>
    </row>
    <row r="4" spans="1:9" ht="39.950000000000003" customHeight="1">
      <c r="A4" s="3" t="s">
        <v>2</v>
      </c>
      <c r="B4" s="3" t="s">
        <v>3</v>
      </c>
      <c r="C4" s="3" t="s">
        <v>4</v>
      </c>
      <c r="D4" s="3" t="s">
        <v>5</v>
      </c>
      <c r="E4" s="3" t="s">
        <v>372</v>
      </c>
      <c r="F4" s="3" t="s">
        <v>6</v>
      </c>
      <c r="G4" s="3" t="s">
        <v>373</v>
      </c>
      <c r="H4" s="3" t="s">
        <v>374</v>
      </c>
      <c r="I4" s="3" t="s">
        <v>375</v>
      </c>
    </row>
    <row r="5" spans="1:9" ht="84" customHeight="1">
      <c r="A5" t="s">
        <v>13</v>
      </c>
      <c r="B5" t="s">
        <v>14</v>
      </c>
      <c r="C5" t="s">
        <v>15</v>
      </c>
      <c r="D5" t="s">
        <v>16</v>
      </c>
      <c r="E5" s="6" t="s">
        <v>376</v>
      </c>
      <c r="F5" s="6" t="s">
        <v>17</v>
      </c>
      <c r="G5" s="1"/>
      <c r="H5" s="1"/>
      <c r="I5" t="s">
        <v>377</v>
      </c>
    </row>
    <row r="6" spans="1:9" ht="84" customHeight="1">
      <c r="A6" t="s">
        <v>13</v>
      </c>
      <c r="B6" t="s">
        <v>14</v>
      </c>
      <c r="C6" t="s">
        <v>15</v>
      </c>
      <c r="D6" t="s">
        <v>16</v>
      </c>
      <c r="E6" s="6" t="s">
        <v>378</v>
      </c>
      <c r="F6" s="6" t="s">
        <v>17</v>
      </c>
      <c r="G6" s="1"/>
      <c r="H6" s="1"/>
      <c r="I6" t="s">
        <v>377</v>
      </c>
    </row>
    <row r="7" spans="1:9" ht="84" customHeight="1">
      <c r="A7" t="s">
        <v>18</v>
      </c>
      <c r="B7" t="s">
        <v>14</v>
      </c>
      <c r="C7" t="s">
        <v>19</v>
      </c>
      <c r="D7" t="s">
        <v>16</v>
      </c>
      <c r="E7" s="6" t="s">
        <v>379</v>
      </c>
      <c r="F7" s="6" t="s">
        <v>20</v>
      </c>
      <c r="G7" s="1"/>
      <c r="H7" s="1"/>
      <c r="I7" t="s">
        <v>380</v>
      </c>
    </row>
    <row r="8" spans="1:9" ht="84" customHeight="1">
      <c r="A8" t="s">
        <v>18</v>
      </c>
      <c r="B8" t="s">
        <v>14</v>
      </c>
      <c r="C8" t="s">
        <v>19</v>
      </c>
      <c r="D8" t="s">
        <v>16</v>
      </c>
      <c r="E8" s="6" t="s">
        <v>381</v>
      </c>
      <c r="F8" s="6" t="s">
        <v>20</v>
      </c>
      <c r="G8" s="1"/>
      <c r="H8" s="1"/>
      <c r="I8" t="s">
        <v>380</v>
      </c>
    </row>
    <row r="9" spans="1:9" ht="84" customHeight="1">
      <c r="A9" t="s">
        <v>21</v>
      </c>
      <c r="B9" t="s">
        <v>14</v>
      </c>
      <c r="C9" t="s">
        <v>22</v>
      </c>
      <c r="D9" t="s">
        <v>16</v>
      </c>
      <c r="E9" s="6" t="s">
        <v>382</v>
      </c>
      <c r="F9" s="6" t="s">
        <v>23</v>
      </c>
      <c r="G9" s="1"/>
      <c r="H9" s="1"/>
      <c r="I9" t="s">
        <v>383</v>
      </c>
    </row>
    <row r="10" spans="1:9" ht="84" customHeight="1">
      <c r="A10" t="s">
        <v>21</v>
      </c>
      <c r="B10" t="s">
        <v>14</v>
      </c>
      <c r="C10" t="s">
        <v>22</v>
      </c>
      <c r="D10" t="s">
        <v>16</v>
      </c>
      <c r="E10" s="6" t="s">
        <v>384</v>
      </c>
      <c r="F10" s="6" t="s">
        <v>23</v>
      </c>
      <c r="G10" s="1"/>
      <c r="H10" s="1"/>
      <c r="I10" t="s">
        <v>383</v>
      </c>
    </row>
    <row r="11" spans="1:9" ht="84" customHeight="1">
      <c r="A11" t="s">
        <v>24</v>
      </c>
      <c r="B11" t="s">
        <v>14</v>
      </c>
      <c r="C11" t="s">
        <v>25</v>
      </c>
      <c r="D11" t="s">
        <v>16</v>
      </c>
      <c r="E11" s="6" t="s">
        <v>385</v>
      </c>
      <c r="F11" s="6" t="s">
        <v>26</v>
      </c>
      <c r="G11" s="1"/>
      <c r="H11" s="1"/>
      <c r="I11" t="s">
        <v>386</v>
      </c>
    </row>
    <row r="12" spans="1:9" ht="84" customHeight="1">
      <c r="A12" t="s">
        <v>24</v>
      </c>
      <c r="B12" t="s">
        <v>14</v>
      </c>
      <c r="C12" t="s">
        <v>25</v>
      </c>
      <c r="D12" t="s">
        <v>16</v>
      </c>
      <c r="E12" s="6" t="s">
        <v>387</v>
      </c>
      <c r="F12" s="6" t="s">
        <v>26</v>
      </c>
      <c r="G12" s="1"/>
      <c r="H12" s="1"/>
      <c r="I12" t="s">
        <v>386</v>
      </c>
    </row>
    <row r="13" spans="1:9" ht="84" customHeight="1">
      <c r="A13" t="s">
        <v>24</v>
      </c>
      <c r="B13" t="s">
        <v>14</v>
      </c>
      <c r="C13" t="s">
        <v>25</v>
      </c>
      <c r="D13" t="s">
        <v>16</v>
      </c>
      <c r="E13" s="6" t="s">
        <v>388</v>
      </c>
      <c r="F13" s="6" t="s">
        <v>26</v>
      </c>
      <c r="G13" s="1"/>
      <c r="H13" s="1"/>
      <c r="I13" t="s">
        <v>386</v>
      </c>
    </row>
    <row r="14" spans="1:9" ht="84" customHeight="1">
      <c r="A14" t="s">
        <v>27</v>
      </c>
      <c r="B14" t="s">
        <v>14</v>
      </c>
      <c r="C14" t="s">
        <v>28</v>
      </c>
      <c r="D14" t="s">
        <v>16</v>
      </c>
      <c r="E14" s="6" t="s">
        <v>389</v>
      </c>
      <c r="F14" s="6" t="s">
        <v>29</v>
      </c>
      <c r="G14" s="1"/>
      <c r="H14" s="1"/>
      <c r="I14" t="s">
        <v>390</v>
      </c>
    </row>
    <row r="15" spans="1:9" ht="84" customHeight="1">
      <c r="A15" t="s">
        <v>27</v>
      </c>
      <c r="B15" t="s">
        <v>14</v>
      </c>
      <c r="C15" t="s">
        <v>28</v>
      </c>
      <c r="D15" t="s">
        <v>16</v>
      </c>
      <c r="E15" s="6" t="s">
        <v>391</v>
      </c>
      <c r="F15" s="6" t="s">
        <v>29</v>
      </c>
      <c r="G15" s="1"/>
      <c r="H15" s="1"/>
      <c r="I15" t="s">
        <v>390</v>
      </c>
    </row>
    <row r="16" spans="1:9" ht="84" customHeight="1">
      <c r="A16" t="s">
        <v>30</v>
      </c>
      <c r="B16" t="s">
        <v>14</v>
      </c>
      <c r="C16" t="s">
        <v>31</v>
      </c>
      <c r="D16" t="s">
        <v>16</v>
      </c>
      <c r="E16" s="6" t="s">
        <v>376</v>
      </c>
      <c r="F16" s="6" t="s">
        <v>32</v>
      </c>
      <c r="G16" s="1"/>
      <c r="H16" s="1"/>
      <c r="I16" t="s">
        <v>377</v>
      </c>
    </row>
    <row r="17" spans="1:9" ht="84" customHeight="1">
      <c r="A17" t="s">
        <v>30</v>
      </c>
      <c r="B17" t="s">
        <v>14</v>
      </c>
      <c r="C17" t="s">
        <v>31</v>
      </c>
      <c r="D17" t="s">
        <v>16</v>
      </c>
      <c r="E17" s="6" t="s">
        <v>378</v>
      </c>
      <c r="F17" s="6" t="s">
        <v>32</v>
      </c>
      <c r="G17" s="1"/>
      <c r="H17" s="1"/>
      <c r="I17" t="s">
        <v>377</v>
      </c>
    </row>
    <row r="18" spans="1:9" ht="84" customHeight="1">
      <c r="A18" t="s">
        <v>33</v>
      </c>
      <c r="B18" t="s">
        <v>14</v>
      </c>
      <c r="C18" t="s">
        <v>34</v>
      </c>
      <c r="D18" t="s">
        <v>16</v>
      </c>
      <c r="E18" s="6" t="s">
        <v>392</v>
      </c>
      <c r="F18" s="6" t="s">
        <v>35</v>
      </c>
      <c r="G18" s="1"/>
      <c r="H18" s="1"/>
      <c r="I18" t="s">
        <v>393</v>
      </c>
    </row>
    <row r="19" spans="1:9" ht="84" customHeight="1">
      <c r="A19" t="s">
        <v>33</v>
      </c>
      <c r="B19" t="s">
        <v>14</v>
      </c>
      <c r="C19" t="s">
        <v>34</v>
      </c>
      <c r="D19" t="s">
        <v>16</v>
      </c>
      <c r="E19" s="6" t="s">
        <v>394</v>
      </c>
      <c r="F19" s="6" t="s">
        <v>35</v>
      </c>
      <c r="G19" s="1"/>
      <c r="H19" s="1"/>
      <c r="I19" t="s">
        <v>393</v>
      </c>
    </row>
    <row r="20" spans="1:9" ht="84" customHeight="1">
      <c r="A20" t="s">
        <v>36</v>
      </c>
      <c r="B20" t="s">
        <v>14</v>
      </c>
      <c r="C20" t="s">
        <v>37</v>
      </c>
      <c r="D20" t="s">
        <v>16</v>
      </c>
      <c r="E20" s="6" t="s">
        <v>395</v>
      </c>
      <c r="F20" s="6" t="s">
        <v>38</v>
      </c>
      <c r="G20" s="1"/>
      <c r="H20" s="1"/>
      <c r="I20" t="s">
        <v>396</v>
      </c>
    </row>
    <row r="21" spans="1:9" ht="84" customHeight="1">
      <c r="A21" t="s">
        <v>36</v>
      </c>
      <c r="B21" t="s">
        <v>14</v>
      </c>
      <c r="C21" t="s">
        <v>37</v>
      </c>
      <c r="D21" t="s">
        <v>16</v>
      </c>
      <c r="E21" s="6" t="s">
        <v>397</v>
      </c>
      <c r="F21" s="6" t="s">
        <v>38</v>
      </c>
      <c r="G21" s="1"/>
      <c r="H21" s="1"/>
      <c r="I21" t="s">
        <v>396</v>
      </c>
    </row>
    <row r="22" spans="1:9" ht="84" customHeight="1">
      <c r="A22" t="s">
        <v>36</v>
      </c>
      <c r="B22" t="s">
        <v>14</v>
      </c>
      <c r="C22" t="s">
        <v>37</v>
      </c>
      <c r="D22" t="s">
        <v>16</v>
      </c>
      <c r="E22" s="6" t="s">
        <v>398</v>
      </c>
      <c r="F22" s="6" t="s">
        <v>38</v>
      </c>
      <c r="G22" s="1"/>
      <c r="H22" s="1"/>
      <c r="I22" t="s">
        <v>396</v>
      </c>
    </row>
    <row r="23" spans="1:9" ht="84" customHeight="1">
      <c r="A23" t="s">
        <v>39</v>
      </c>
      <c r="B23" t="s">
        <v>14</v>
      </c>
      <c r="C23" t="s">
        <v>40</v>
      </c>
      <c r="D23" t="s">
        <v>16</v>
      </c>
      <c r="E23" s="6" t="s">
        <v>399</v>
      </c>
      <c r="F23" s="6" t="s">
        <v>35</v>
      </c>
      <c r="G23" s="1"/>
      <c r="H23" s="1"/>
      <c r="I23" t="s">
        <v>400</v>
      </c>
    </row>
    <row r="24" spans="1:9" ht="84" customHeight="1">
      <c r="A24" t="s">
        <v>39</v>
      </c>
      <c r="B24" t="s">
        <v>14</v>
      </c>
      <c r="C24" t="s">
        <v>40</v>
      </c>
      <c r="D24" t="s">
        <v>16</v>
      </c>
      <c r="E24" s="6" t="s">
        <v>401</v>
      </c>
      <c r="F24" s="6" t="s">
        <v>35</v>
      </c>
      <c r="G24" s="1"/>
      <c r="H24" s="1"/>
      <c r="I24" t="s">
        <v>400</v>
      </c>
    </row>
    <row r="25" spans="1:9" ht="84" customHeight="1">
      <c r="A25" t="s">
        <v>41</v>
      </c>
      <c r="B25" t="s">
        <v>14</v>
      </c>
      <c r="C25" t="s">
        <v>42</v>
      </c>
      <c r="D25" t="s">
        <v>16</v>
      </c>
      <c r="E25" s="6" t="s">
        <v>402</v>
      </c>
      <c r="F25" s="6" t="s">
        <v>43</v>
      </c>
      <c r="G25" s="1"/>
      <c r="H25" s="1"/>
      <c r="I25" t="s">
        <v>403</v>
      </c>
    </row>
    <row r="26" spans="1:9" ht="84" customHeight="1">
      <c r="A26" t="s">
        <v>41</v>
      </c>
      <c r="B26" t="s">
        <v>14</v>
      </c>
      <c r="C26" t="s">
        <v>42</v>
      </c>
      <c r="D26" t="s">
        <v>16</v>
      </c>
      <c r="E26" s="6" t="s">
        <v>404</v>
      </c>
      <c r="F26" s="6" t="s">
        <v>43</v>
      </c>
      <c r="G26" s="1"/>
      <c r="H26" s="1"/>
      <c r="I26" t="s">
        <v>403</v>
      </c>
    </row>
    <row r="27" spans="1:9" ht="84" customHeight="1">
      <c r="A27" t="s">
        <v>41</v>
      </c>
      <c r="B27" t="s">
        <v>14</v>
      </c>
      <c r="C27" t="s">
        <v>42</v>
      </c>
      <c r="D27" t="s">
        <v>16</v>
      </c>
      <c r="E27" s="6" t="s">
        <v>405</v>
      </c>
      <c r="F27" s="6" t="s">
        <v>43</v>
      </c>
      <c r="G27" s="1"/>
      <c r="H27" s="1"/>
      <c r="I27" t="s">
        <v>403</v>
      </c>
    </row>
    <row r="28" spans="1:9" ht="84" customHeight="1">
      <c r="A28" t="s">
        <v>44</v>
      </c>
      <c r="B28" t="s">
        <v>14</v>
      </c>
      <c r="C28" t="s">
        <v>45</v>
      </c>
      <c r="D28" t="s">
        <v>16</v>
      </c>
      <c r="E28" s="6" t="s">
        <v>406</v>
      </c>
      <c r="F28" s="6" t="s">
        <v>35</v>
      </c>
      <c r="G28" s="1"/>
      <c r="H28" s="1"/>
      <c r="I28" t="s">
        <v>407</v>
      </c>
    </row>
    <row r="29" spans="1:9" ht="84" customHeight="1">
      <c r="A29" t="s">
        <v>44</v>
      </c>
      <c r="B29" t="s">
        <v>14</v>
      </c>
      <c r="C29" t="s">
        <v>45</v>
      </c>
      <c r="D29" t="s">
        <v>16</v>
      </c>
      <c r="E29" s="6" t="s">
        <v>408</v>
      </c>
      <c r="F29" s="6" t="s">
        <v>35</v>
      </c>
      <c r="G29" s="1"/>
      <c r="H29" s="1"/>
      <c r="I29" t="s">
        <v>407</v>
      </c>
    </row>
    <row r="30" spans="1:9" ht="84" customHeight="1">
      <c r="A30" t="s">
        <v>46</v>
      </c>
      <c r="B30" t="s">
        <v>14</v>
      </c>
      <c r="C30" t="s">
        <v>47</v>
      </c>
      <c r="D30" t="s">
        <v>16</v>
      </c>
      <c r="E30" s="6" t="s">
        <v>392</v>
      </c>
      <c r="F30" s="6" t="s">
        <v>48</v>
      </c>
      <c r="G30" s="1"/>
      <c r="H30" s="1"/>
      <c r="I30" t="s">
        <v>393</v>
      </c>
    </row>
    <row r="31" spans="1:9" ht="84" customHeight="1">
      <c r="A31" t="s">
        <v>46</v>
      </c>
      <c r="B31" t="s">
        <v>14</v>
      </c>
      <c r="C31" t="s">
        <v>47</v>
      </c>
      <c r="D31" t="s">
        <v>16</v>
      </c>
      <c r="E31" s="6" t="s">
        <v>394</v>
      </c>
      <c r="F31" s="6" t="s">
        <v>48</v>
      </c>
      <c r="G31" s="1"/>
      <c r="H31" s="1"/>
      <c r="I31" t="s">
        <v>393</v>
      </c>
    </row>
    <row r="32" spans="1:9" ht="84" customHeight="1">
      <c r="A32" t="s">
        <v>49</v>
      </c>
      <c r="B32" t="s">
        <v>14</v>
      </c>
      <c r="C32" t="s">
        <v>50</v>
      </c>
      <c r="D32" t="s">
        <v>16</v>
      </c>
      <c r="E32" s="6" t="s">
        <v>409</v>
      </c>
      <c r="F32" s="6" t="s">
        <v>51</v>
      </c>
      <c r="G32" s="1"/>
      <c r="H32" s="1"/>
      <c r="I32" t="s">
        <v>410</v>
      </c>
    </row>
    <row r="33" spans="1:9" ht="84" customHeight="1">
      <c r="A33" t="s">
        <v>49</v>
      </c>
      <c r="B33" t="s">
        <v>14</v>
      </c>
      <c r="C33" t="s">
        <v>50</v>
      </c>
      <c r="D33" t="s">
        <v>16</v>
      </c>
      <c r="E33" s="6" t="s">
        <v>411</v>
      </c>
      <c r="F33" s="6" t="s">
        <v>51</v>
      </c>
      <c r="G33" s="1"/>
      <c r="H33" s="1"/>
      <c r="I33" t="s">
        <v>410</v>
      </c>
    </row>
    <row r="34" spans="1:9" ht="84" customHeight="1">
      <c r="A34" t="s">
        <v>52</v>
      </c>
      <c r="B34" t="s">
        <v>14</v>
      </c>
      <c r="C34" t="s">
        <v>53</v>
      </c>
      <c r="D34" t="s">
        <v>16</v>
      </c>
      <c r="E34" s="6" t="s">
        <v>412</v>
      </c>
      <c r="F34" s="6" t="s">
        <v>54</v>
      </c>
      <c r="G34" s="1"/>
      <c r="H34" s="1"/>
      <c r="I34" t="s">
        <v>413</v>
      </c>
    </row>
    <row r="35" spans="1:9" ht="84" customHeight="1">
      <c r="A35" t="s">
        <v>52</v>
      </c>
      <c r="B35" t="s">
        <v>14</v>
      </c>
      <c r="C35" t="s">
        <v>53</v>
      </c>
      <c r="D35" t="s">
        <v>16</v>
      </c>
      <c r="E35" s="6" t="s">
        <v>381</v>
      </c>
      <c r="F35" s="6" t="s">
        <v>54</v>
      </c>
      <c r="G35" s="1"/>
      <c r="H35" s="1"/>
      <c r="I35" t="s">
        <v>413</v>
      </c>
    </row>
    <row r="36" spans="1:9" ht="84" customHeight="1">
      <c r="A36" t="s">
        <v>55</v>
      </c>
      <c r="B36" t="s">
        <v>14</v>
      </c>
      <c r="C36" t="s">
        <v>56</v>
      </c>
      <c r="D36" t="s">
        <v>16</v>
      </c>
      <c r="E36" s="6" t="s">
        <v>414</v>
      </c>
      <c r="F36" s="6" t="s">
        <v>35</v>
      </c>
      <c r="G36" s="1"/>
      <c r="H36" s="1"/>
      <c r="I36" t="s">
        <v>415</v>
      </c>
    </row>
    <row r="37" spans="1:9" ht="84" customHeight="1">
      <c r="A37" t="s">
        <v>55</v>
      </c>
      <c r="B37" t="s">
        <v>14</v>
      </c>
      <c r="C37" t="s">
        <v>56</v>
      </c>
      <c r="D37" t="s">
        <v>16</v>
      </c>
      <c r="E37" s="6" t="s">
        <v>416</v>
      </c>
      <c r="F37" s="6" t="s">
        <v>35</v>
      </c>
      <c r="G37" s="1"/>
      <c r="H37" s="1"/>
      <c r="I37" t="s">
        <v>415</v>
      </c>
    </row>
    <row r="38" spans="1:9" ht="84" customHeight="1">
      <c r="A38" t="s">
        <v>57</v>
      </c>
      <c r="B38" t="s">
        <v>14</v>
      </c>
      <c r="C38" t="s">
        <v>58</v>
      </c>
      <c r="D38" t="s">
        <v>16</v>
      </c>
      <c r="E38" s="6" t="s">
        <v>417</v>
      </c>
      <c r="F38" s="6" t="s">
        <v>59</v>
      </c>
      <c r="G38" s="1"/>
      <c r="H38" s="1"/>
      <c r="I38" t="s">
        <v>418</v>
      </c>
    </row>
    <row r="39" spans="1:9" ht="84" customHeight="1">
      <c r="A39" t="s">
        <v>57</v>
      </c>
      <c r="B39" t="s">
        <v>14</v>
      </c>
      <c r="C39" t="s">
        <v>58</v>
      </c>
      <c r="D39" t="s">
        <v>16</v>
      </c>
      <c r="E39" s="6" t="s">
        <v>419</v>
      </c>
      <c r="F39" s="6" t="s">
        <v>59</v>
      </c>
      <c r="G39" s="1"/>
      <c r="H39" s="1"/>
      <c r="I39" t="s">
        <v>418</v>
      </c>
    </row>
    <row r="40" spans="1:9" ht="84" customHeight="1">
      <c r="A40" t="s">
        <v>60</v>
      </c>
      <c r="B40" t="s">
        <v>14</v>
      </c>
      <c r="C40" t="s">
        <v>61</v>
      </c>
      <c r="D40" t="s">
        <v>16</v>
      </c>
      <c r="E40" s="6" t="s">
        <v>420</v>
      </c>
      <c r="F40" s="6" t="s">
        <v>62</v>
      </c>
      <c r="G40" s="1"/>
      <c r="H40" s="1"/>
      <c r="I40" t="s">
        <v>421</v>
      </c>
    </row>
    <row r="41" spans="1:9" ht="84" customHeight="1">
      <c r="A41" t="s">
        <v>60</v>
      </c>
      <c r="B41" t="s">
        <v>14</v>
      </c>
      <c r="C41" t="s">
        <v>61</v>
      </c>
      <c r="D41" t="s">
        <v>16</v>
      </c>
      <c r="E41" s="6" t="s">
        <v>422</v>
      </c>
      <c r="F41" s="6" t="s">
        <v>62</v>
      </c>
      <c r="G41" s="1"/>
      <c r="H41" s="1"/>
      <c r="I41" t="s">
        <v>421</v>
      </c>
    </row>
    <row r="42" spans="1:9" ht="84" customHeight="1">
      <c r="A42" t="s">
        <v>63</v>
      </c>
      <c r="B42" t="s">
        <v>14</v>
      </c>
      <c r="C42" t="s">
        <v>64</v>
      </c>
      <c r="D42" t="s">
        <v>16</v>
      </c>
      <c r="E42" s="6" t="s">
        <v>409</v>
      </c>
      <c r="F42" s="6" t="s">
        <v>65</v>
      </c>
      <c r="G42" s="1"/>
      <c r="H42" s="1"/>
      <c r="I42" t="s">
        <v>410</v>
      </c>
    </row>
    <row r="43" spans="1:9" ht="84" customHeight="1">
      <c r="A43" t="s">
        <v>63</v>
      </c>
      <c r="B43" t="s">
        <v>14</v>
      </c>
      <c r="C43" t="s">
        <v>64</v>
      </c>
      <c r="D43" t="s">
        <v>16</v>
      </c>
      <c r="E43" s="6" t="s">
        <v>411</v>
      </c>
      <c r="F43" s="6" t="s">
        <v>65</v>
      </c>
      <c r="G43" s="1"/>
      <c r="H43" s="1"/>
      <c r="I43" t="s">
        <v>410</v>
      </c>
    </row>
    <row r="44" spans="1:9" ht="84" customHeight="1">
      <c r="A44" t="s">
        <v>66</v>
      </c>
      <c r="B44" t="s">
        <v>14</v>
      </c>
      <c r="C44" t="s">
        <v>67</v>
      </c>
      <c r="D44" t="s">
        <v>16</v>
      </c>
      <c r="E44" s="6" t="s">
        <v>423</v>
      </c>
      <c r="F44" s="6" t="s">
        <v>35</v>
      </c>
      <c r="G44" s="1"/>
      <c r="H44" s="1"/>
      <c r="I44" t="s">
        <v>424</v>
      </c>
    </row>
    <row r="45" spans="1:9" ht="84" customHeight="1">
      <c r="A45" t="s">
        <v>66</v>
      </c>
      <c r="B45" t="s">
        <v>14</v>
      </c>
      <c r="C45" t="s">
        <v>67</v>
      </c>
      <c r="D45" t="s">
        <v>16</v>
      </c>
      <c r="E45" s="6" t="s">
        <v>425</v>
      </c>
      <c r="F45" s="6" t="s">
        <v>35</v>
      </c>
      <c r="G45" s="1"/>
      <c r="H45" s="1"/>
      <c r="I45" t="s">
        <v>424</v>
      </c>
    </row>
    <row r="46" spans="1:9" ht="84" customHeight="1">
      <c r="A46" t="s">
        <v>68</v>
      </c>
      <c r="B46" t="s">
        <v>14</v>
      </c>
      <c r="C46" t="s">
        <v>69</v>
      </c>
      <c r="D46" t="s">
        <v>16</v>
      </c>
      <c r="E46" s="6" t="s">
        <v>426</v>
      </c>
      <c r="F46" s="6" t="s">
        <v>35</v>
      </c>
      <c r="G46" s="1"/>
      <c r="H46" s="1"/>
      <c r="I46" t="s">
        <v>427</v>
      </c>
    </row>
    <row r="47" spans="1:9" ht="84" customHeight="1">
      <c r="A47" t="s">
        <v>68</v>
      </c>
      <c r="B47" t="s">
        <v>14</v>
      </c>
      <c r="C47" t="s">
        <v>69</v>
      </c>
      <c r="D47" t="s">
        <v>16</v>
      </c>
      <c r="E47" s="6" t="s">
        <v>428</v>
      </c>
      <c r="F47" s="6" t="s">
        <v>35</v>
      </c>
      <c r="G47" s="1"/>
      <c r="H47" s="1"/>
      <c r="I47" t="s">
        <v>427</v>
      </c>
    </row>
    <row r="48" spans="1:9" ht="84" customHeight="1">
      <c r="A48" t="s">
        <v>70</v>
      </c>
      <c r="B48" t="s">
        <v>14</v>
      </c>
      <c r="C48" t="s">
        <v>71</v>
      </c>
      <c r="D48" t="s">
        <v>16</v>
      </c>
      <c r="E48" s="6" t="s">
        <v>429</v>
      </c>
      <c r="F48" s="6" t="s">
        <v>35</v>
      </c>
      <c r="G48" s="1"/>
      <c r="H48" s="1"/>
      <c r="I48" t="s">
        <v>430</v>
      </c>
    </row>
    <row r="49" spans="1:9" ht="84" customHeight="1">
      <c r="A49" t="s">
        <v>70</v>
      </c>
      <c r="B49" t="s">
        <v>14</v>
      </c>
      <c r="C49" t="s">
        <v>71</v>
      </c>
      <c r="D49" t="s">
        <v>16</v>
      </c>
      <c r="E49" s="6" t="s">
        <v>431</v>
      </c>
      <c r="F49" s="6" t="s">
        <v>35</v>
      </c>
      <c r="G49" s="1"/>
      <c r="H49" s="1"/>
      <c r="I49" t="s">
        <v>430</v>
      </c>
    </row>
    <row r="50" spans="1:9" ht="84" customHeight="1">
      <c r="A50" t="s">
        <v>70</v>
      </c>
      <c r="B50" t="s">
        <v>14</v>
      </c>
      <c r="C50" t="s">
        <v>71</v>
      </c>
      <c r="D50" t="s">
        <v>16</v>
      </c>
      <c r="E50" s="6" t="s">
        <v>432</v>
      </c>
      <c r="F50" s="6" t="s">
        <v>35</v>
      </c>
      <c r="G50" s="1"/>
      <c r="H50" s="1"/>
      <c r="I50" t="s">
        <v>430</v>
      </c>
    </row>
    <row r="51" spans="1:9" ht="84" customHeight="1">
      <c r="A51" t="s">
        <v>72</v>
      </c>
      <c r="B51" t="s">
        <v>14</v>
      </c>
      <c r="C51" t="s">
        <v>73</v>
      </c>
      <c r="D51" t="s">
        <v>16</v>
      </c>
      <c r="E51" s="6" t="s">
        <v>433</v>
      </c>
      <c r="F51" s="6" t="s">
        <v>35</v>
      </c>
      <c r="G51" s="1"/>
      <c r="H51" s="1"/>
      <c r="I51" t="s">
        <v>434</v>
      </c>
    </row>
    <row r="52" spans="1:9" ht="84" customHeight="1">
      <c r="A52" t="s">
        <v>72</v>
      </c>
      <c r="B52" t="s">
        <v>14</v>
      </c>
      <c r="C52" t="s">
        <v>73</v>
      </c>
      <c r="D52" t="s">
        <v>16</v>
      </c>
      <c r="E52" s="6" t="s">
        <v>435</v>
      </c>
      <c r="F52" s="6" t="s">
        <v>35</v>
      </c>
      <c r="G52" s="1"/>
      <c r="H52" s="1"/>
      <c r="I52" t="s">
        <v>434</v>
      </c>
    </row>
    <row r="53" spans="1:9" ht="84" customHeight="1">
      <c r="A53" t="s">
        <v>72</v>
      </c>
      <c r="B53" t="s">
        <v>14</v>
      </c>
      <c r="C53" t="s">
        <v>73</v>
      </c>
      <c r="D53" t="s">
        <v>16</v>
      </c>
      <c r="E53" s="6" t="s">
        <v>436</v>
      </c>
      <c r="F53" s="6" t="s">
        <v>35</v>
      </c>
      <c r="G53" s="1"/>
      <c r="H53" s="1"/>
      <c r="I53" t="s">
        <v>434</v>
      </c>
    </row>
    <row r="54" spans="1:9" ht="84" customHeight="1">
      <c r="A54" t="s">
        <v>74</v>
      </c>
      <c r="B54" t="s">
        <v>14</v>
      </c>
      <c r="C54" t="s">
        <v>75</v>
      </c>
      <c r="D54" t="s">
        <v>16</v>
      </c>
      <c r="E54" s="6" t="s">
        <v>437</v>
      </c>
      <c r="F54" s="6" t="s">
        <v>35</v>
      </c>
      <c r="G54" s="1"/>
      <c r="H54" s="1"/>
      <c r="I54" t="s">
        <v>438</v>
      </c>
    </row>
    <row r="55" spans="1:9" ht="84" customHeight="1">
      <c r="A55" t="s">
        <v>74</v>
      </c>
      <c r="B55" t="s">
        <v>14</v>
      </c>
      <c r="C55" t="s">
        <v>75</v>
      </c>
      <c r="D55" t="s">
        <v>16</v>
      </c>
      <c r="E55" s="6" t="s">
        <v>439</v>
      </c>
      <c r="F55" s="6" t="s">
        <v>35</v>
      </c>
      <c r="G55" s="1"/>
      <c r="H55" s="1"/>
      <c r="I55" t="s">
        <v>438</v>
      </c>
    </row>
    <row r="56" spans="1:9" ht="84" customHeight="1">
      <c r="A56" t="s">
        <v>76</v>
      </c>
      <c r="B56" t="s">
        <v>14</v>
      </c>
      <c r="C56" t="s">
        <v>77</v>
      </c>
      <c r="D56" t="s">
        <v>16</v>
      </c>
      <c r="E56" s="6" t="s">
        <v>423</v>
      </c>
      <c r="F56" s="6" t="s">
        <v>35</v>
      </c>
      <c r="G56" s="1"/>
      <c r="H56" s="1"/>
      <c r="I56" t="s">
        <v>427</v>
      </c>
    </row>
    <row r="57" spans="1:9" ht="84" customHeight="1">
      <c r="A57" t="s">
        <v>76</v>
      </c>
      <c r="B57" t="s">
        <v>14</v>
      </c>
      <c r="C57" t="s">
        <v>77</v>
      </c>
      <c r="D57" t="s">
        <v>16</v>
      </c>
      <c r="E57" s="6" t="s">
        <v>426</v>
      </c>
      <c r="F57" s="6" t="s">
        <v>35</v>
      </c>
      <c r="G57" s="1"/>
      <c r="H57" s="1"/>
      <c r="I57" t="s">
        <v>427</v>
      </c>
    </row>
    <row r="58" spans="1:9" ht="84" customHeight="1">
      <c r="A58" t="s">
        <v>78</v>
      </c>
      <c r="B58" t="s">
        <v>14</v>
      </c>
      <c r="C58" t="s">
        <v>79</v>
      </c>
      <c r="D58" t="s">
        <v>16</v>
      </c>
      <c r="E58" s="6" t="s">
        <v>440</v>
      </c>
      <c r="F58" s="6" t="s">
        <v>35</v>
      </c>
      <c r="G58" s="1"/>
      <c r="H58" s="1"/>
      <c r="I58" t="s">
        <v>441</v>
      </c>
    </row>
    <row r="59" spans="1:9" ht="84" customHeight="1">
      <c r="A59" t="s">
        <v>80</v>
      </c>
      <c r="B59" t="s">
        <v>14</v>
      </c>
      <c r="C59" t="s">
        <v>81</v>
      </c>
      <c r="D59" t="s">
        <v>16</v>
      </c>
      <c r="E59" s="6" t="s">
        <v>442</v>
      </c>
      <c r="F59" s="6" t="s">
        <v>35</v>
      </c>
      <c r="G59" s="1"/>
      <c r="H59" s="1"/>
      <c r="I59" t="s">
        <v>443</v>
      </c>
    </row>
    <row r="60" spans="1:9" ht="84" customHeight="1">
      <c r="A60" t="s">
        <v>80</v>
      </c>
      <c r="B60" t="s">
        <v>14</v>
      </c>
      <c r="C60" t="s">
        <v>81</v>
      </c>
      <c r="D60" t="s">
        <v>16</v>
      </c>
      <c r="E60" s="6" t="s">
        <v>444</v>
      </c>
      <c r="F60" s="6" t="s">
        <v>35</v>
      </c>
      <c r="G60" s="1"/>
      <c r="H60" s="1"/>
      <c r="I60" t="s">
        <v>443</v>
      </c>
    </row>
    <row r="61" spans="1:9" ht="84" customHeight="1">
      <c r="A61" t="s">
        <v>82</v>
      </c>
      <c r="B61" t="s">
        <v>14</v>
      </c>
      <c r="C61" t="s">
        <v>83</v>
      </c>
      <c r="D61" t="s">
        <v>16</v>
      </c>
      <c r="E61" s="6" t="s">
        <v>445</v>
      </c>
      <c r="F61" s="6" t="s">
        <v>35</v>
      </c>
      <c r="G61" s="1"/>
      <c r="H61" s="1"/>
      <c r="I61" t="s">
        <v>446</v>
      </c>
    </row>
    <row r="62" spans="1:9" ht="84" customHeight="1">
      <c r="A62" t="s">
        <v>82</v>
      </c>
      <c r="B62" t="s">
        <v>14</v>
      </c>
      <c r="C62" t="s">
        <v>83</v>
      </c>
      <c r="D62" t="s">
        <v>16</v>
      </c>
      <c r="E62" s="6" t="s">
        <v>447</v>
      </c>
      <c r="F62" s="6" t="s">
        <v>35</v>
      </c>
      <c r="G62" s="1"/>
      <c r="H62" s="1"/>
      <c r="I62" t="s">
        <v>446</v>
      </c>
    </row>
    <row r="63" spans="1:9" ht="84" customHeight="1">
      <c r="A63" t="s">
        <v>84</v>
      </c>
      <c r="B63" t="s">
        <v>14</v>
      </c>
      <c r="C63" t="s">
        <v>85</v>
      </c>
      <c r="D63" t="s">
        <v>16</v>
      </c>
      <c r="E63" s="6" t="s">
        <v>448</v>
      </c>
      <c r="F63" s="6" t="s">
        <v>35</v>
      </c>
      <c r="G63" s="1"/>
      <c r="H63" s="1"/>
      <c r="I63" t="s">
        <v>449</v>
      </c>
    </row>
    <row r="64" spans="1:9" ht="84" customHeight="1">
      <c r="A64" t="s">
        <v>84</v>
      </c>
      <c r="B64" t="s">
        <v>14</v>
      </c>
      <c r="C64" t="s">
        <v>85</v>
      </c>
      <c r="D64" t="s">
        <v>16</v>
      </c>
      <c r="E64" s="6" t="s">
        <v>450</v>
      </c>
      <c r="F64" s="6" t="s">
        <v>35</v>
      </c>
      <c r="G64" s="1"/>
      <c r="H64" s="1"/>
      <c r="I64" t="s">
        <v>449</v>
      </c>
    </row>
    <row r="65" spans="1:9" ht="84" customHeight="1">
      <c r="A65" t="s">
        <v>86</v>
      </c>
      <c r="B65" t="s">
        <v>14</v>
      </c>
      <c r="C65" t="s">
        <v>87</v>
      </c>
      <c r="D65" t="s">
        <v>16</v>
      </c>
      <c r="E65" s="6" t="s">
        <v>451</v>
      </c>
      <c r="F65" s="6" t="s">
        <v>35</v>
      </c>
      <c r="G65" s="1"/>
      <c r="H65" s="1"/>
      <c r="I65" t="s">
        <v>452</v>
      </c>
    </row>
    <row r="66" spans="1:9" ht="84" customHeight="1">
      <c r="A66" t="s">
        <v>86</v>
      </c>
      <c r="B66" t="s">
        <v>14</v>
      </c>
      <c r="C66" t="s">
        <v>87</v>
      </c>
      <c r="D66" t="s">
        <v>16</v>
      </c>
      <c r="E66" s="6" t="s">
        <v>453</v>
      </c>
      <c r="F66" s="6" t="s">
        <v>35</v>
      </c>
      <c r="G66" s="1"/>
      <c r="H66" s="1"/>
      <c r="I66" t="s">
        <v>452</v>
      </c>
    </row>
    <row r="67" spans="1:9" ht="84" customHeight="1">
      <c r="A67" t="s">
        <v>88</v>
      </c>
      <c r="B67" t="s">
        <v>14</v>
      </c>
      <c r="C67" t="s">
        <v>89</v>
      </c>
      <c r="D67" t="s">
        <v>16</v>
      </c>
      <c r="E67" s="6" t="s">
        <v>440</v>
      </c>
      <c r="F67" s="6" t="s">
        <v>35</v>
      </c>
      <c r="G67" s="1"/>
      <c r="H67" s="1"/>
      <c r="I67" t="s">
        <v>441</v>
      </c>
    </row>
    <row r="68" spans="1:9" ht="84" customHeight="1">
      <c r="A68" t="s">
        <v>90</v>
      </c>
      <c r="B68" t="s">
        <v>14</v>
      </c>
      <c r="C68" t="s">
        <v>15</v>
      </c>
      <c r="D68" t="s">
        <v>91</v>
      </c>
      <c r="E68" s="6" t="s">
        <v>376</v>
      </c>
      <c r="F68" s="6"/>
      <c r="G68" s="1"/>
      <c r="H68" s="1"/>
      <c r="I68" t="s">
        <v>377</v>
      </c>
    </row>
    <row r="69" spans="1:9" ht="84" customHeight="1">
      <c r="A69" t="s">
        <v>90</v>
      </c>
      <c r="B69" t="s">
        <v>14</v>
      </c>
      <c r="C69" t="s">
        <v>15</v>
      </c>
      <c r="D69" t="s">
        <v>91</v>
      </c>
      <c r="E69" s="6" t="s">
        <v>378</v>
      </c>
      <c r="F69" s="6"/>
      <c r="G69" s="1"/>
      <c r="H69" s="1"/>
      <c r="I69" t="s">
        <v>377</v>
      </c>
    </row>
    <row r="70" spans="1:9" ht="84" customHeight="1">
      <c r="A70" t="s">
        <v>93</v>
      </c>
      <c r="B70" t="s">
        <v>14</v>
      </c>
      <c r="C70" t="s">
        <v>19</v>
      </c>
      <c r="D70" t="s">
        <v>91</v>
      </c>
      <c r="E70" s="6" t="s">
        <v>379</v>
      </c>
      <c r="F70" s="6" t="s">
        <v>94</v>
      </c>
      <c r="G70" s="1"/>
      <c r="H70" s="1"/>
      <c r="I70" t="s">
        <v>380</v>
      </c>
    </row>
    <row r="71" spans="1:9" ht="84" customHeight="1">
      <c r="A71" t="s">
        <v>93</v>
      </c>
      <c r="B71" t="s">
        <v>14</v>
      </c>
      <c r="C71" t="s">
        <v>19</v>
      </c>
      <c r="D71" t="s">
        <v>91</v>
      </c>
      <c r="E71" s="6" t="s">
        <v>381</v>
      </c>
      <c r="F71" s="6" t="s">
        <v>94</v>
      </c>
      <c r="G71" s="1"/>
      <c r="H71" s="1"/>
      <c r="I71" t="s">
        <v>380</v>
      </c>
    </row>
    <row r="72" spans="1:9" ht="84" customHeight="1">
      <c r="A72" t="s">
        <v>95</v>
      </c>
      <c r="B72" t="s">
        <v>14</v>
      </c>
      <c r="C72" t="s">
        <v>22</v>
      </c>
      <c r="D72" t="s">
        <v>91</v>
      </c>
      <c r="E72" s="6" t="s">
        <v>382</v>
      </c>
      <c r="F72" s="6" t="s">
        <v>96</v>
      </c>
      <c r="G72" s="1"/>
      <c r="H72" s="1"/>
      <c r="I72" t="s">
        <v>383</v>
      </c>
    </row>
    <row r="73" spans="1:9" ht="84" customHeight="1">
      <c r="A73" t="s">
        <v>95</v>
      </c>
      <c r="B73" t="s">
        <v>14</v>
      </c>
      <c r="C73" t="s">
        <v>22</v>
      </c>
      <c r="D73" t="s">
        <v>91</v>
      </c>
      <c r="E73" s="6" t="s">
        <v>384</v>
      </c>
      <c r="F73" s="6" t="s">
        <v>96</v>
      </c>
      <c r="G73" s="1"/>
      <c r="H73" s="1"/>
      <c r="I73" t="s">
        <v>383</v>
      </c>
    </row>
    <row r="74" spans="1:9" ht="84" customHeight="1">
      <c r="A74" t="s">
        <v>97</v>
      </c>
      <c r="B74" t="s">
        <v>14</v>
      </c>
      <c r="C74" t="s">
        <v>25</v>
      </c>
      <c r="D74" t="s">
        <v>91</v>
      </c>
      <c r="E74" s="6" t="s">
        <v>385</v>
      </c>
      <c r="F74" s="6" t="s">
        <v>98</v>
      </c>
      <c r="G74" s="1"/>
      <c r="H74" s="1"/>
      <c r="I74" t="s">
        <v>386</v>
      </c>
    </row>
    <row r="75" spans="1:9" ht="84" customHeight="1">
      <c r="A75" t="s">
        <v>97</v>
      </c>
      <c r="B75" t="s">
        <v>14</v>
      </c>
      <c r="C75" t="s">
        <v>25</v>
      </c>
      <c r="D75" t="s">
        <v>91</v>
      </c>
      <c r="E75" s="6" t="s">
        <v>387</v>
      </c>
      <c r="F75" s="6" t="s">
        <v>98</v>
      </c>
      <c r="G75" s="1"/>
      <c r="H75" s="1"/>
      <c r="I75" t="s">
        <v>386</v>
      </c>
    </row>
    <row r="76" spans="1:9" ht="84" customHeight="1">
      <c r="A76" t="s">
        <v>97</v>
      </c>
      <c r="B76" t="s">
        <v>14</v>
      </c>
      <c r="C76" t="s">
        <v>25</v>
      </c>
      <c r="D76" t="s">
        <v>91</v>
      </c>
      <c r="E76" s="6" t="s">
        <v>388</v>
      </c>
      <c r="F76" s="6" t="s">
        <v>98</v>
      </c>
      <c r="G76" s="1"/>
      <c r="H76" s="1"/>
      <c r="I76" t="s">
        <v>386</v>
      </c>
    </row>
    <row r="77" spans="1:9" ht="84" customHeight="1">
      <c r="A77" t="s">
        <v>99</v>
      </c>
      <c r="B77" t="s">
        <v>14</v>
      </c>
      <c r="C77" t="s">
        <v>28</v>
      </c>
      <c r="D77" t="s">
        <v>91</v>
      </c>
      <c r="E77" s="6" t="s">
        <v>389</v>
      </c>
      <c r="F77" s="6" t="s">
        <v>100</v>
      </c>
      <c r="G77" s="1"/>
      <c r="H77" s="1"/>
      <c r="I77" t="s">
        <v>390</v>
      </c>
    </row>
    <row r="78" spans="1:9" ht="84" customHeight="1">
      <c r="A78" t="s">
        <v>99</v>
      </c>
      <c r="B78" t="s">
        <v>14</v>
      </c>
      <c r="C78" t="s">
        <v>28</v>
      </c>
      <c r="D78" t="s">
        <v>91</v>
      </c>
      <c r="E78" s="6" t="s">
        <v>391</v>
      </c>
      <c r="F78" s="6" t="s">
        <v>100</v>
      </c>
      <c r="G78" s="1"/>
      <c r="H78" s="1"/>
      <c r="I78" t="s">
        <v>390</v>
      </c>
    </row>
    <row r="79" spans="1:9" ht="84" customHeight="1">
      <c r="A79" t="s">
        <v>101</v>
      </c>
      <c r="B79" t="s">
        <v>14</v>
      </c>
      <c r="C79" t="s">
        <v>31</v>
      </c>
      <c r="D79" t="s">
        <v>91</v>
      </c>
      <c r="E79" s="6" t="s">
        <v>376</v>
      </c>
      <c r="F79" s="6" t="s">
        <v>102</v>
      </c>
      <c r="G79" s="1"/>
      <c r="H79" s="1"/>
      <c r="I79" t="s">
        <v>377</v>
      </c>
    </row>
    <row r="80" spans="1:9" ht="84" customHeight="1">
      <c r="A80" t="s">
        <v>101</v>
      </c>
      <c r="B80" t="s">
        <v>14</v>
      </c>
      <c r="C80" t="s">
        <v>31</v>
      </c>
      <c r="D80" t="s">
        <v>91</v>
      </c>
      <c r="E80" s="6" t="s">
        <v>378</v>
      </c>
      <c r="F80" s="6" t="s">
        <v>102</v>
      </c>
      <c r="G80" s="1"/>
      <c r="H80" s="1"/>
      <c r="I80" t="s">
        <v>377</v>
      </c>
    </row>
    <row r="81" spans="1:9" ht="84" customHeight="1">
      <c r="A81" t="s">
        <v>103</v>
      </c>
      <c r="B81" t="s">
        <v>14</v>
      </c>
      <c r="C81" t="s">
        <v>34</v>
      </c>
      <c r="D81" t="s">
        <v>91</v>
      </c>
      <c r="E81" s="6" t="s">
        <v>392</v>
      </c>
      <c r="F81" s="6" t="s">
        <v>104</v>
      </c>
      <c r="G81" s="1"/>
      <c r="H81" s="1"/>
      <c r="I81" t="s">
        <v>393</v>
      </c>
    </row>
    <row r="82" spans="1:9" ht="84" customHeight="1">
      <c r="A82" t="s">
        <v>103</v>
      </c>
      <c r="B82" t="s">
        <v>14</v>
      </c>
      <c r="C82" t="s">
        <v>34</v>
      </c>
      <c r="D82" t="s">
        <v>91</v>
      </c>
      <c r="E82" s="6" t="s">
        <v>394</v>
      </c>
      <c r="F82" s="6" t="s">
        <v>104</v>
      </c>
      <c r="G82" s="1"/>
      <c r="H82" s="1"/>
      <c r="I82" t="s">
        <v>393</v>
      </c>
    </row>
    <row r="83" spans="1:9" ht="84" customHeight="1">
      <c r="A83" t="s">
        <v>105</v>
      </c>
      <c r="B83" t="s">
        <v>14</v>
      </c>
      <c r="C83" t="s">
        <v>37</v>
      </c>
      <c r="D83" t="s">
        <v>91</v>
      </c>
      <c r="E83" s="6" t="s">
        <v>395</v>
      </c>
      <c r="F83" s="6" t="s">
        <v>106</v>
      </c>
      <c r="G83" s="1"/>
      <c r="H83" s="1"/>
      <c r="I83" t="s">
        <v>396</v>
      </c>
    </row>
    <row r="84" spans="1:9" ht="84" customHeight="1">
      <c r="A84" t="s">
        <v>105</v>
      </c>
      <c r="B84" t="s">
        <v>14</v>
      </c>
      <c r="C84" t="s">
        <v>37</v>
      </c>
      <c r="D84" t="s">
        <v>91</v>
      </c>
      <c r="E84" s="6" t="s">
        <v>397</v>
      </c>
      <c r="F84" s="6" t="s">
        <v>106</v>
      </c>
      <c r="G84" s="1"/>
      <c r="H84" s="1"/>
      <c r="I84" t="s">
        <v>396</v>
      </c>
    </row>
    <row r="85" spans="1:9" ht="84" customHeight="1">
      <c r="A85" t="s">
        <v>105</v>
      </c>
      <c r="B85" t="s">
        <v>14</v>
      </c>
      <c r="C85" t="s">
        <v>37</v>
      </c>
      <c r="D85" t="s">
        <v>91</v>
      </c>
      <c r="E85" s="6" t="s">
        <v>398</v>
      </c>
      <c r="F85" s="6" t="s">
        <v>106</v>
      </c>
      <c r="G85" s="1"/>
      <c r="H85" s="1"/>
      <c r="I85" t="s">
        <v>396</v>
      </c>
    </row>
    <row r="86" spans="1:9" ht="84" customHeight="1">
      <c r="A86" t="s">
        <v>107</v>
      </c>
      <c r="B86" t="s">
        <v>14</v>
      </c>
      <c r="C86" t="s">
        <v>40</v>
      </c>
      <c r="D86" t="s">
        <v>91</v>
      </c>
      <c r="E86" s="6" t="s">
        <v>399</v>
      </c>
      <c r="F86" s="6" t="s">
        <v>108</v>
      </c>
      <c r="G86" s="1"/>
      <c r="H86" s="1"/>
      <c r="I86" t="s">
        <v>400</v>
      </c>
    </row>
    <row r="87" spans="1:9" ht="84" customHeight="1">
      <c r="A87" t="s">
        <v>107</v>
      </c>
      <c r="B87" t="s">
        <v>14</v>
      </c>
      <c r="C87" t="s">
        <v>40</v>
      </c>
      <c r="D87" t="s">
        <v>91</v>
      </c>
      <c r="E87" s="6" t="s">
        <v>401</v>
      </c>
      <c r="F87" s="6" t="s">
        <v>108</v>
      </c>
      <c r="G87" s="1"/>
      <c r="H87" s="1"/>
      <c r="I87" t="s">
        <v>400</v>
      </c>
    </row>
    <row r="88" spans="1:9" ht="84" customHeight="1">
      <c r="A88" t="s">
        <v>109</v>
      </c>
      <c r="B88" t="s">
        <v>14</v>
      </c>
      <c r="C88" t="s">
        <v>42</v>
      </c>
      <c r="D88" t="s">
        <v>91</v>
      </c>
      <c r="E88" s="6" t="s">
        <v>402</v>
      </c>
      <c r="F88" s="6" t="s">
        <v>110</v>
      </c>
      <c r="G88" s="1"/>
      <c r="H88" s="1"/>
      <c r="I88" t="s">
        <v>403</v>
      </c>
    </row>
    <row r="89" spans="1:9" ht="84" customHeight="1">
      <c r="A89" t="s">
        <v>109</v>
      </c>
      <c r="B89" t="s">
        <v>14</v>
      </c>
      <c r="C89" t="s">
        <v>42</v>
      </c>
      <c r="D89" t="s">
        <v>91</v>
      </c>
      <c r="E89" s="6" t="s">
        <v>404</v>
      </c>
      <c r="F89" s="6" t="s">
        <v>110</v>
      </c>
      <c r="G89" s="1"/>
      <c r="H89" s="1"/>
      <c r="I89" t="s">
        <v>403</v>
      </c>
    </row>
    <row r="90" spans="1:9" ht="84" customHeight="1">
      <c r="A90" t="s">
        <v>109</v>
      </c>
      <c r="B90" t="s">
        <v>14</v>
      </c>
      <c r="C90" t="s">
        <v>42</v>
      </c>
      <c r="D90" t="s">
        <v>91</v>
      </c>
      <c r="E90" s="6" t="s">
        <v>405</v>
      </c>
      <c r="F90" s="6" t="s">
        <v>110</v>
      </c>
      <c r="G90" s="1"/>
      <c r="H90" s="1"/>
      <c r="I90" t="s">
        <v>403</v>
      </c>
    </row>
    <row r="91" spans="1:9" ht="84" customHeight="1">
      <c r="A91" t="s">
        <v>111</v>
      </c>
      <c r="B91" t="s">
        <v>14</v>
      </c>
      <c r="C91" t="s">
        <v>45</v>
      </c>
      <c r="D91" t="s">
        <v>91</v>
      </c>
      <c r="E91" s="6" t="s">
        <v>406</v>
      </c>
      <c r="F91" s="6" t="s">
        <v>112</v>
      </c>
      <c r="G91" s="1"/>
      <c r="H91" s="1"/>
      <c r="I91" t="s">
        <v>407</v>
      </c>
    </row>
    <row r="92" spans="1:9" ht="84" customHeight="1">
      <c r="A92" t="s">
        <v>111</v>
      </c>
      <c r="B92" t="s">
        <v>14</v>
      </c>
      <c r="C92" t="s">
        <v>45</v>
      </c>
      <c r="D92" t="s">
        <v>91</v>
      </c>
      <c r="E92" s="6" t="s">
        <v>408</v>
      </c>
      <c r="F92" s="6" t="s">
        <v>112</v>
      </c>
      <c r="G92" s="1"/>
      <c r="H92" s="1"/>
      <c r="I92" t="s">
        <v>407</v>
      </c>
    </row>
    <row r="93" spans="1:9" ht="84" customHeight="1">
      <c r="A93" t="s">
        <v>113</v>
      </c>
      <c r="B93" t="s">
        <v>14</v>
      </c>
      <c r="C93" t="s">
        <v>47</v>
      </c>
      <c r="D93" t="s">
        <v>91</v>
      </c>
      <c r="E93" s="6" t="s">
        <v>392</v>
      </c>
      <c r="F93" s="6" t="s">
        <v>114</v>
      </c>
      <c r="G93" s="1"/>
      <c r="H93" s="1"/>
      <c r="I93" t="s">
        <v>393</v>
      </c>
    </row>
    <row r="94" spans="1:9" ht="84" customHeight="1">
      <c r="A94" t="s">
        <v>113</v>
      </c>
      <c r="B94" t="s">
        <v>14</v>
      </c>
      <c r="C94" t="s">
        <v>47</v>
      </c>
      <c r="D94" t="s">
        <v>91</v>
      </c>
      <c r="E94" s="6" t="s">
        <v>394</v>
      </c>
      <c r="F94" s="6" t="s">
        <v>114</v>
      </c>
      <c r="G94" s="1"/>
      <c r="H94" s="1"/>
      <c r="I94" t="s">
        <v>393</v>
      </c>
    </row>
    <row r="95" spans="1:9" ht="84" customHeight="1">
      <c r="A95" t="s">
        <v>115</v>
      </c>
      <c r="B95" t="s">
        <v>14</v>
      </c>
      <c r="C95" t="s">
        <v>50</v>
      </c>
      <c r="D95" t="s">
        <v>91</v>
      </c>
      <c r="E95" s="6" t="s">
        <v>409</v>
      </c>
      <c r="F95" s="6" t="s">
        <v>116</v>
      </c>
      <c r="G95" s="1"/>
      <c r="H95" s="1"/>
      <c r="I95" t="s">
        <v>410</v>
      </c>
    </row>
    <row r="96" spans="1:9" ht="84" customHeight="1">
      <c r="A96" t="s">
        <v>115</v>
      </c>
      <c r="B96" t="s">
        <v>14</v>
      </c>
      <c r="C96" t="s">
        <v>50</v>
      </c>
      <c r="D96" t="s">
        <v>91</v>
      </c>
      <c r="E96" s="6" t="s">
        <v>411</v>
      </c>
      <c r="F96" s="6" t="s">
        <v>116</v>
      </c>
      <c r="G96" s="1"/>
      <c r="H96" s="1"/>
      <c r="I96" t="s">
        <v>410</v>
      </c>
    </row>
    <row r="97" spans="1:9" ht="84" customHeight="1">
      <c r="A97" t="s">
        <v>117</v>
      </c>
      <c r="B97" t="s">
        <v>14</v>
      </c>
      <c r="C97" t="s">
        <v>53</v>
      </c>
      <c r="D97" t="s">
        <v>91</v>
      </c>
      <c r="E97" s="6" t="s">
        <v>412</v>
      </c>
      <c r="F97" s="6" t="s">
        <v>118</v>
      </c>
      <c r="G97" s="1"/>
      <c r="H97" s="1"/>
      <c r="I97" t="s">
        <v>413</v>
      </c>
    </row>
    <row r="98" spans="1:9" ht="84" customHeight="1">
      <c r="A98" t="s">
        <v>117</v>
      </c>
      <c r="B98" t="s">
        <v>14</v>
      </c>
      <c r="C98" t="s">
        <v>53</v>
      </c>
      <c r="D98" t="s">
        <v>91</v>
      </c>
      <c r="E98" s="6" t="s">
        <v>381</v>
      </c>
      <c r="F98" s="6" t="s">
        <v>118</v>
      </c>
      <c r="G98" s="1"/>
      <c r="H98" s="1"/>
      <c r="I98" t="s">
        <v>413</v>
      </c>
    </row>
    <row r="99" spans="1:9" ht="84" customHeight="1">
      <c r="A99" t="s">
        <v>119</v>
      </c>
      <c r="B99" t="s">
        <v>14</v>
      </c>
      <c r="C99" t="s">
        <v>56</v>
      </c>
      <c r="D99" t="s">
        <v>91</v>
      </c>
      <c r="E99" s="6" t="s">
        <v>414</v>
      </c>
      <c r="F99" s="6"/>
      <c r="G99" s="1"/>
      <c r="H99" s="1"/>
      <c r="I99" t="s">
        <v>415</v>
      </c>
    </row>
    <row r="100" spans="1:9" ht="84" customHeight="1">
      <c r="A100" t="s">
        <v>119</v>
      </c>
      <c r="B100" t="s">
        <v>14</v>
      </c>
      <c r="C100" t="s">
        <v>56</v>
      </c>
      <c r="D100" t="s">
        <v>91</v>
      </c>
      <c r="E100" s="6" t="s">
        <v>416</v>
      </c>
      <c r="F100" s="6"/>
      <c r="G100" s="1"/>
      <c r="H100" s="1"/>
      <c r="I100" t="s">
        <v>415</v>
      </c>
    </row>
    <row r="101" spans="1:9" ht="84" customHeight="1">
      <c r="A101" t="s">
        <v>120</v>
      </c>
      <c r="B101" t="s">
        <v>14</v>
      </c>
      <c r="C101" t="s">
        <v>58</v>
      </c>
      <c r="D101" t="s">
        <v>91</v>
      </c>
      <c r="E101" s="6" t="s">
        <v>417</v>
      </c>
      <c r="F101" s="6" t="s">
        <v>121</v>
      </c>
      <c r="G101" s="1"/>
      <c r="H101" s="1"/>
      <c r="I101" t="s">
        <v>418</v>
      </c>
    </row>
    <row r="102" spans="1:9" ht="84" customHeight="1">
      <c r="A102" t="s">
        <v>120</v>
      </c>
      <c r="B102" t="s">
        <v>14</v>
      </c>
      <c r="C102" t="s">
        <v>58</v>
      </c>
      <c r="D102" t="s">
        <v>91</v>
      </c>
      <c r="E102" s="6" t="s">
        <v>419</v>
      </c>
      <c r="F102" s="6" t="s">
        <v>121</v>
      </c>
      <c r="G102" s="1"/>
      <c r="H102" s="1"/>
      <c r="I102" t="s">
        <v>418</v>
      </c>
    </row>
    <row r="103" spans="1:9" ht="84" customHeight="1">
      <c r="A103" t="s">
        <v>122</v>
      </c>
      <c r="B103" t="s">
        <v>14</v>
      </c>
      <c r="C103" t="s">
        <v>61</v>
      </c>
      <c r="D103" t="s">
        <v>91</v>
      </c>
      <c r="E103" s="6" t="s">
        <v>420</v>
      </c>
      <c r="F103" s="6" t="s">
        <v>123</v>
      </c>
      <c r="G103" s="1"/>
      <c r="H103" s="1"/>
      <c r="I103" t="s">
        <v>421</v>
      </c>
    </row>
    <row r="104" spans="1:9" ht="84" customHeight="1">
      <c r="A104" t="s">
        <v>122</v>
      </c>
      <c r="B104" t="s">
        <v>14</v>
      </c>
      <c r="C104" t="s">
        <v>61</v>
      </c>
      <c r="D104" t="s">
        <v>91</v>
      </c>
      <c r="E104" s="6" t="s">
        <v>422</v>
      </c>
      <c r="F104" s="6" t="s">
        <v>123</v>
      </c>
      <c r="G104" s="1"/>
      <c r="H104" s="1"/>
      <c r="I104" t="s">
        <v>421</v>
      </c>
    </row>
    <row r="105" spans="1:9" ht="84" customHeight="1">
      <c r="A105" t="s">
        <v>124</v>
      </c>
      <c r="B105" t="s">
        <v>14</v>
      </c>
      <c r="C105" t="s">
        <v>64</v>
      </c>
      <c r="D105" t="s">
        <v>91</v>
      </c>
      <c r="E105" s="6" t="s">
        <v>409</v>
      </c>
      <c r="F105" s="6"/>
      <c r="G105" s="1"/>
      <c r="H105" s="1"/>
      <c r="I105" t="s">
        <v>410</v>
      </c>
    </row>
    <row r="106" spans="1:9" ht="84" customHeight="1">
      <c r="A106" t="s">
        <v>124</v>
      </c>
      <c r="B106" t="s">
        <v>14</v>
      </c>
      <c r="C106" t="s">
        <v>64</v>
      </c>
      <c r="D106" t="s">
        <v>91</v>
      </c>
      <c r="E106" s="6" t="s">
        <v>411</v>
      </c>
      <c r="F106" s="6"/>
      <c r="G106" s="1"/>
      <c r="H106" s="1"/>
      <c r="I106" t="s">
        <v>410</v>
      </c>
    </row>
    <row r="107" spans="1:9" ht="84" customHeight="1">
      <c r="A107" t="s">
        <v>125</v>
      </c>
      <c r="B107" t="s">
        <v>14</v>
      </c>
      <c r="C107" t="s">
        <v>67</v>
      </c>
      <c r="D107" t="s">
        <v>91</v>
      </c>
      <c r="E107" s="6" t="s">
        <v>423</v>
      </c>
      <c r="F107" s="6" t="s">
        <v>126</v>
      </c>
      <c r="G107" s="1"/>
      <c r="H107" s="1"/>
      <c r="I107" t="s">
        <v>424</v>
      </c>
    </row>
    <row r="108" spans="1:9" ht="84" customHeight="1">
      <c r="A108" t="s">
        <v>125</v>
      </c>
      <c r="B108" t="s">
        <v>14</v>
      </c>
      <c r="C108" t="s">
        <v>67</v>
      </c>
      <c r="D108" t="s">
        <v>91</v>
      </c>
      <c r="E108" s="6" t="s">
        <v>425</v>
      </c>
      <c r="F108" s="6" t="s">
        <v>126</v>
      </c>
      <c r="G108" s="1"/>
      <c r="H108" s="1"/>
      <c r="I108" t="s">
        <v>424</v>
      </c>
    </row>
    <row r="109" spans="1:9" ht="84" customHeight="1">
      <c r="A109" t="s">
        <v>127</v>
      </c>
      <c r="B109" t="s">
        <v>14</v>
      </c>
      <c r="C109" t="s">
        <v>69</v>
      </c>
      <c r="D109" t="s">
        <v>91</v>
      </c>
      <c r="E109" s="6" t="s">
        <v>426</v>
      </c>
      <c r="F109" s="6" t="s">
        <v>128</v>
      </c>
      <c r="G109" s="1"/>
      <c r="H109" s="1"/>
      <c r="I109" t="s">
        <v>427</v>
      </c>
    </row>
    <row r="110" spans="1:9" ht="84" customHeight="1">
      <c r="A110" t="s">
        <v>127</v>
      </c>
      <c r="B110" t="s">
        <v>14</v>
      </c>
      <c r="C110" t="s">
        <v>69</v>
      </c>
      <c r="D110" t="s">
        <v>91</v>
      </c>
      <c r="E110" s="6" t="s">
        <v>428</v>
      </c>
      <c r="F110" s="6" t="s">
        <v>128</v>
      </c>
      <c r="G110" s="1"/>
      <c r="H110" s="1"/>
      <c r="I110" t="s">
        <v>427</v>
      </c>
    </row>
    <row r="111" spans="1:9" ht="84" customHeight="1">
      <c r="A111" t="s">
        <v>129</v>
      </c>
      <c r="B111" t="s">
        <v>14</v>
      </c>
      <c r="C111" t="s">
        <v>71</v>
      </c>
      <c r="D111" t="s">
        <v>91</v>
      </c>
      <c r="E111" s="6" t="s">
        <v>429</v>
      </c>
      <c r="F111" s="6" t="s">
        <v>130</v>
      </c>
      <c r="G111" s="1"/>
      <c r="H111" s="1"/>
      <c r="I111" t="s">
        <v>430</v>
      </c>
    </row>
    <row r="112" spans="1:9" ht="84" customHeight="1">
      <c r="A112" t="s">
        <v>129</v>
      </c>
      <c r="B112" t="s">
        <v>14</v>
      </c>
      <c r="C112" t="s">
        <v>71</v>
      </c>
      <c r="D112" t="s">
        <v>91</v>
      </c>
      <c r="E112" s="6" t="s">
        <v>431</v>
      </c>
      <c r="F112" s="6" t="s">
        <v>130</v>
      </c>
      <c r="G112" s="1"/>
      <c r="H112" s="1"/>
      <c r="I112" t="s">
        <v>430</v>
      </c>
    </row>
    <row r="113" spans="1:9" ht="84" customHeight="1">
      <c r="A113" t="s">
        <v>129</v>
      </c>
      <c r="B113" t="s">
        <v>14</v>
      </c>
      <c r="C113" t="s">
        <v>71</v>
      </c>
      <c r="D113" t="s">
        <v>91</v>
      </c>
      <c r="E113" s="6" t="s">
        <v>432</v>
      </c>
      <c r="F113" s="6" t="s">
        <v>130</v>
      </c>
      <c r="G113" s="1"/>
      <c r="H113" s="1"/>
      <c r="I113" t="s">
        <v>430</v>
      </c>
    </row>
    <row r="114" spans="1:9" ht="84" customHeight="1">
      <c r="A114" t="s">
        <v>131</v>
      </c>
      <c r="B114" t="s">
        <v>14</v>
      </c>
      <c r="C114" t="s">
        <v>73</v>
      </c>
      <c r="D114" t="s">
        <v>91</v>
      </c>
      <c r="E114" s="6" t="s">
        <v>433</v>
      </c>
      <c r="F114" s="6"/>
      <c r="G114" s="1"/>
      <c r="H114" s="1"/>
      <c r="I114" t="s">
        <v>434</v>
      </c>
    </row>
    <row r="115" spans="1:9" ht="84" customHeight="1">
      <c r="A115" t="s">
        <v>131</v>
      </c>
      <c r="B115" t="s">
        <v>14</v>
      </c>
      <c r="C115" t="s">
        <v>73</v>
      </c>
      <c r="D115" t="s">
        <v>91</v>
      </c>
      <c r="E115" s="6" t="s">
        <v>435</v>
      </c>
      <c r="F115" s="6"/>
      <c r="G115" s="1"/>
      <c r="H115" s="1"/>
      <c r="I115" t="s">
        <v>434</v>
      </c>
    </row>
    <row r="116" spans="1:9" ht="84" customHeight="1">
      <c r="A116" t="s">
        <v>131</v>
      </c>
      <c r="B116" t="s">
        <v>14</v>
      </c>
      <c r="C116" t="s">
        <v>73</v>
      </c>
      <c r="D116" t="s">
        <v>91</v>
      </c>
      <c r="E116" s="6" t="s">
        <v>436</v>
      </c>
      <c r="F116" s="6"/>
      <c r="G116" s="1"/>
      <c r="H116" s="1"/>
      <c r="I116" t="s">
        <v>434</v>
      </c>
    </row>
    <row r="117" spans="1:9" ht="84" customHeight="1">
      <c r="A117" t="s">
        <v>132</v>
      </c>
      <c r="B117" t="s">
        <v>14</v>
      </c>
      <c r="C117" t="s">
        <v>75</v>
      </c>
      <c r="D117" t="s">
        <v>91</v>
      </c>
      <c r="E117" s="6" t="s">
        <v>437</v>
      </c>
      <c r="F117" s="6" t="s">
        <v>133</v>
      </c>
      <c r="G117" s="1"/>
      <c r="H117" s="1"/>
      <c r="I117" t="s">
        <v>438</v>
      </c>
    </row>
    <row r="118" spans="1:9" ht="84" customHeight="1">
      <c r="A118" t="s">
        <v>132</v>
      </c>
      <c r="B118" t="s">
        <v>14</v>
      </c>
      <c r="C118" t="s">
        <v>75</v>
      </c>
      <c r="D118" t="s">
        <v>91</v>
      </c>
      <c r="E118" s="6" t="s">
        <v>439</v>
      </c>
      <c r="F118" s="6" t="s">
        <v>133</v>
      </c>
      <c r="G118" s="1"/>
      <c r="H118" s="1"/>
      <c r="I118" t="s">
        <v>438</v>
      </c>
    </row>
    <row r="119" spans="1:9" ht="84" customHeight="1">
      <c r="A119" t="s">
        <v>134</v>
      </c>
      <c r="B119" t="s">
        <v>14</v>
      </c>
      <c r="C119" t="s">
        <v>77</v>
      </c>
      <c r="D119" t="s">
        <v>91</v>
      </c>
      <c r="E119" s="6" t="s">
        <v>423</v>
      </c>
      <c r="F119" s="6" t="s">
        <v>135</v>
      </c>
      <c r="G119" s="1"/>
      <c r="H119" s="1"/>
      <c r="I119" t="s">
        <v>427</v>
      </c>
    </row>
    <row r="120" spans="1:9" ht="84" customHeight="1">
      <c r="A120" t="s">
        <v>134</v>
      </c>
      <c r="B120" t="s">
        <v>14</v>
      </c>
      <c r="C120" t="s">
        <v>77</v>
      </c>
      <c r="D120" t="s">
        <v>91</v>
      </c>
      <c r="E120" s="6" t="s">
        <v>426</v>
      </c>
      <c r="F120" s="6" t="s">
        <v>135</v>
      </c>
      <c r="G120" s="1"/>
      <c r="H120" s="1"/>
      <c r="I120" t="s">
        <v>427</v>
      </c>
    </row>
    <row r="121" spans="1:9" ht="84" customHeight="1">
      <c r="A121" t="s">
        <v>136</v>
      </c>
      <c r="B121" t="s">
        <v>14</v>
      </c>
      <c r="C121" t="s">
        <v>79</v>
      </c>
      <c r="D121" t="s">
        <v>91</v>
      </c>
      <c r="E121" s="6" t="s">
        <v>440</v>
      </c>
      <c r="F121" s="6" t="s">
        <v>137</v>
      </c>
      <c r="G121" s="1"/>
      <c r="H121" s="1"/>
      <c r="I121" t="s">
        <v>441</v>
      </c>
    </row>
    <row r="122" spans="1:9" ht="84" customHeight="1">
      <c r="A122" t="s">
        <v>138</v>
      </c>
      <c r="B122" t="s">
        <v>14</v>
      </c>
      <c r="C122" t="s">
        <v>81</v>
      </c>
      <c r="D122" t="s">
        <v>91</v>
      </c>
      <c r="E122" s="6" t="s">
        <v>442</v>
      </c>
      <c r="F122" s="6"/>
      <c r="G122" s="1"/>
      <c r="H122" s="1"/>
      <c r="I122" t="s">
        <v>443</v>
      </c>
    </row>
    <row r="123" spans="1:9" ht="84" customHeight="1">
      <c r="A123" t="s">
        <v>138</v>
      </c>
      <c r="B123" t="s">
        <v>14</v>
      </c>
      <c r="C123" t="s">
        <v>81</v>
      </c>
      <c r="D123" t="s">
        <v>91</v>
      </c>
      <c r="E123" s="6" t="s">
        <v>444</v>
      </c>
      <c r="F123" s="6"/>
      <c r="G123" s="1"/>
      <c r="H123" s="1"/>
      <c r="I123" t="s">
        <v>443</v>
      </c>
    </row>
    <row r="124" spans="1:9" ht="84" customHeight="1">
      <c r="A124" t="s">
        <v>139</v>
      </c>
      <c r="B124" t="s">
        <v>14</v>
      </c>
      <c r="C124" t="s">
        <v>83</v>
      </c>
      <c r="D124" t="s">
        <v>91</v>
      </c>
      <c r="E124" s="6" t="s">
        <v>445</v>
      </c>
      <c r="F124" s="6" t="s">
        <v>140</v>
      </c>
      <c r="G124" s="1"/>
      <c r="H124" s="1"/>
      <c r="I124" t="s">
        <v>446</v>
      </c>
    </row>
    <row r="125" spans="1:9" ht="84" customHeight="1">
      <c r="A125" t="s">
        <v>139</v>
      </c>
      <c r="B125" t="s">
        <v>14</v>
      </c>
      <c r="C125" t="s">
        <v>83</v>
      </c>
      <c r="D125" t="s">
        <v>91</v>
      </c>
      <c r="E125" s="6" t="s">
        <v>447</v>
      </c>
      <c r="F125" s="6" t="s">
        <v>140</v>
      </c>
      <c r="G125" s="1"/>
      <c r="H125" s="1"/>
      <c r="I125" t="s">
        <v>446</v>
      </c>
    </row>
    <row r="126" spans="1:9" ht="84" customHeight="1">
      <c r="A126" t="s">
        <v>141</v>
      </c>
      <c r="B126" t="s">
        <v>14</v>
      </c>
      <c r="C126" t="s">
        <v>85</v>
      </c>
      <c r="D126" t="s">
        <v>91</v>
      </c>
      <c r="E126" s="6" t="s">
        <v>448</v>
      </c>
      <c r="F126" s="6" t="s">
        <v>142</v>
      </c>
      <c r="G126" s="1"/>
      <c r="H126" s="1"/>
      <c r="I126" t="s">
        <v>449</v>
      </c>
    </row>
    <row r="127" spans="1:9" ht="84" customHeight="1">
      <c r="A127" t="s">
        <v>141</v>
      </c>
      <c r="B127" t="s">
        <v>14</v>
      </c>
      <c r="C127" t="s">
        <v>85</v>
      </c>
      <c r="D127" t="s">
        <v>91</v>
      </c>
      <c r="E127" s="6" t="s">
        <v>450</v>
      </c>
      <c r="F127" s="6" t="s">
        <v>142</v>
      </c>
      <c r="G127" s="1"/>
      <c r="H127" s="1"/>
      <c r="I127" t="s">
        <v>449</v>
      </c>
    </row>
    <row r="128" spans="1:9" ht="84" customHeight="1">
      <c r="A128" t="s">
        <v>143</v>
      </c>
      <c r="B128" t="s">
        <v>14</v>
      </c>
      <c r="C128" t="s">
        <v>87</v>
      </c>
      <c r="D128" t="s">
        <v>91</v>
      </c>
      <c r="E128" s="6" t="s">
        <v>451</v>
      </c>
      <c r="F128" s="6" t="s">
        <v>144</v>
      </c>
      <c r="G128" s="1"/>
      <c r="H128" s="1"/>
      <c r="I128" t="s">
        <v>452</v>
      </c>
    </row>
    <row r="129" spans="1:9" ht="84" customHeight="1">
      <c r="A129" t="s">
        <v>143</v>
      </c>
      <c r="B129" t="s">
        <v>14</v>
      </c>
      <c r="C129" t="s">
        <v>87</v>
      </c>
      <c r="D129" t="s">
        <v>91</v>
      </c>
      <c r="E129" s="6" t="s">
        <v>453</v>
      </c>
      <c r="F129" s="6" t="s">
        <v>144</v>
      </c>
      <c r="G129" s="1"/>
      <c r="H129" s="1"/>
      <c r="I129" t="s">
        <v>452</v>
      </c>
    </row>
    <row r="130" spans="1:9" ht="84" customHeight="1">
      <c r="A130" t="s">
        <v>145</v>
      </c>
      <c r="B130" t="s">
        <v>14</v>
      </c>
      <c r="C130" t="s">
        <v>89</v>
      </c>
      <c r="D130" t="s">
        <v>91</v>
      </c>
      <c r="E130" s="6" t="s">
        <v>440</v>
      </c>
      <c r="F130" s="6" t="s">
        <v>146</v>
      </c>
      <c r="G130" s="1"/>
      <c r="H130" s="1"/>
      <c r="I130" t="s">
        <v>441</v>
      </c>
    </row>
    <row r="131" spans="1:9" ht="84" customHeight="1">
      <c r="A131" t="s">
        <v>147</v>
      </c>
      <c r="B131" t="s">
        <v>148</v>
      </c>
      <c r="C131" t="s">
        <v>15</v>
      </c>
      <c r="D131" t="s">
        <v>16</v>
      </c>
      <c r="E131" s="6" t="s">
        <v>376</v>
      </c>
      <c r="F131" s="6" t="s">
        <v>149</v>
      </c>
      <c r="G131" s="1"/>
      <c r="H131" s="1"/>
      <c r="I131" t="s">
        <v>377</v>
      </c>
    </row>
    <row r="132" spans="1:9" ht="84" customHeight="1">
      <c r="A132" t="s">
        <v>147</v>
      </c>
      <c r="B132" t="s">
        <v>148</v>
      </c>
      <c r="C132" t="s">
        <v>15</v>
      </c>
      <c r="D132" t="s">
        <v>16</v>
      </c>
      <c r="E132" s="6" t="s">
        <v>378</v>
      </c>
      <c r="F132" s="6" t="s">
        <v>149</v>
      </c>
      <c r="G132" s="1"/>
      <c r="H132" s="1"/>
      <c r="I132" t="s">
        <v>377</v>
      </c>
    </row>
    <row r="133" spans="1:9" ht="84" customHeight="1">
      <c r="A133" t="s">
        <v>150</v>
      </c>
      <c r="B133" t="s">
        <v>148</v>
      </c>
      <c r="C133" t="s">
        <v>19</v>
      </c>
      <c r="D133" t="s">
        <v>16</v>
      </c>
      <c r="E133" s="6" t="s">
        <v>379</v>
      </c>
      <c r="F133" s="6" t="s">
        <v>151</v>
      </c>
      <c r="G133" s="1"/>
      <c r="H133" s="1"/>
      <c r="I133" t="s">
        <v>380</v>
      </c>
    </row>
    <row r="134" spans="1:9" ht="84" customHeight="1">
      <c r="A134" t="s">
        <v>150</v>
      </c>
      <c r="B134" t="s">
        <v>148</v>
      </c>
      <c r="C134" t="s">
        <v>19</v>
      </c>
      <c r="D134" t="s">
        <v>16</v>
      </c>
      <c r="E134" s="6" t="s">
        <v>381</v>
      </c>
      <c r="F134" s="6" t="s">
        <v>151</v>
      </c>
      <c r="G134" s="1"/>
      <c r="H134" s="1"/>
      <c r="I134" t="s">
        <v>380</v>
      </c>
    </row>
    <row r="135" spans="1:9" ht="84" customHeight="1">
      <c r="A135" t="s">
        <v>152</v>
      </c>
      <c r="B135" t="s">
        <v>148</v>
      </c>
      <c r="C135" t="s">
        <v>22</v>
      </c>
      <c r="D135" t="s">
        <v>16</v>
      </c>
      <c r="E135" s="6" t="s">
        <v>382</v>
      </c>
      <c r="F135" s="6" t="s">
        <v>153</v>
      </c>
      <c r="G135" s="1"/>
      <c r="H135" s="1"/>
      <c r="I135" t="s">
        <v>383</v>
      </c>
    </row>
    <row r="136" spans="1:9" ht="84" customHeight="1">
      <c r="A136" t="s">
        <v>152</v>
      </c>
      <c r="B136" t="s">
        <v>148</v>
      </c>
      <c r="C136" t="s">
        <v>22</v>
      </c>
      <c r="D136" t="s">
        <v>16</v>
      </c>
      <c r="E136" s="6" t="s">
        <v>384</v>
      </c>
      <c r="F136" s="6" t="s">
        <v>153</v>
      </c>
      <c r="G136" s="1"/>
      <c r="H136" s="1"/>
      <c r="I136" t="s">
        <v>383</v>
      </c>
    </row>
    <row r="137" spans="1:9" ht="84" customHeight="1">
      <c r="A137" t="s">
        <v>154</v>
      </c>
      <c r="B137" t="s">
        <v>148</v>
      </c>
      <c r="C137" t="s">
        <v>25</v>
      </c>
      <c r="D137" t="s">
        <v>16</v>
      </c>
      <c r="E137" s="6" t="s">
        <v>385</v>
      </c>
      <c r="F137" s="6" t="s">
        <v>155</v>
      </c>
      <c r="G137" s="1"/>
      <c r="H137" s="1"/>
      <c r="I137" t="s">
        <v>386</v>
      </c>
    </row>
    <row r="138" spans="1:9" ht="84" customHeight="1">
      <c r="A138" t="s">
        <v>154</v>
      </c>
      <c r="B138" t="s">
        <v>148</v>
      </c>
      <c r="C138" t="s">
        <v>25</v>
      </c>
      <c r="D138" t="s">
        <v>16</v>
      </c>
      <c r="E138" s="6" t="s">
        <v>387</v>
      </c>
      <c r="F138" s="6" t="s">
        <v>155</v>
      </c>
      <c r="G138" s="1"/>
      <c r="H138" s="1"/>
      <c r="I138" t="s">
        <v>386</v>
      </c>
    </row>
    <row r="139" spans="1:9" ht="84" customHeight="1">
      <c r="A139" t="s">
        <v>154</v>
      </c>
      <c r="B139" t="s">
        <v>148</v>
      </c>
      <c r="C139" t="s">
        <v>25</v>
      </c>
      <c r="D139" t="s">
        <v>16</v>
      </c>
      <c r="E139" s="6" t="s">
        <v>388</v>
      </c>
      <c r="F139" s="6" t="s">
        <v>155</v>
      </c>
      <c r="G139" s="1"/>
      <c r="H139" s="1"/>
      <c r="I139" t="s">
        <v>386</v>
      </c>
    </row>
    <row r="140" spans="1:9" ht="84" customHeight="1">
      <c r="A140" t="s">
        <v>156</v>
      </c>
      <c r="B140" t="s">
        <v>148</v>
      </c>
      <c r="C140" t="s">
        <v>28</v>
      </c>
      <c r="D140" t="s">
        <v>16</v>
      </c>
      <c r="E140" s="6" t="s">
        <v>389</v>
      </c>
      <c r="F140" s="6" t="s">
        <v>157</v>
      </c>
      <c r="G140" s="1"/>
      <c r="H140" s="1"/>
      <c r="I140" t="s">
        <v>390</v>
      </c>
    </row>
    <row r="141" spans="1:9" ht="84" customHeight="1">
      <c r="A141" t="s">
        <v>156</v>
      </c>
      <c r="B141" t="s">
        <v>148</v>
      </c>
      <c r="C141" t="s">
        <v>28</v>
      </c>
      <c r="D141" t="s">
        <v>16</v>
      </c>
      <c r="E141" s="6" t="s">
        <v>391</v>
      </c>
      <c r="F141" s="6" t="s">
        <v>157</v>
      </c>
      <c r="G141" s="1"/>
      <c r="H141" s="1"/>
      <c r="I141" t="s">
        <v>390</v>
      </c>
    </row>
    <row r="142" spans="1:9" ht="84" customHeight="1">
      <c r="A142" t="s">
        <v>158</v>
      </c>
      <c r="B142" t="s">
        <v>148</v>
      </c>
      <c r="C142" t="s">
        <v>31</v>
      </c>
      <c r="D142" t="s">
        <v>16</v>
      </c>
      <c r="E142" s="6" t="s">
        <v>376</v>
      </c>
      <c r="F142" s="6" t="s">
        <v>159</v>
      </c>
      <c r="G142" s="1"/>
      <c r="H142" s="1"/>
      <c r="I142" t="s">
        <v>377</v>
      </c>
    </row>
    <row r="143" spans="1:9" ht="84" customHeight="1">
      <c r="A143" t="s">
        <v>158</v>
      </c>
      <c r="B143" t="s">
        <v>148</v>
      </c>
      <c r="C143" t="s">
        <v>31</v>
      </c>
      <c r="D143" t="s">
        <v>16</v>
      </c>
      <c r="E143" s="6" t="s">
        <v>378</v>
      </c>
      <c r="F143" s="6" t="s">
        <v>159</v>
      </c>
      <c r="G143" s="1"/>
      <c r="H143" s="1"/>
      <c r="I143" t="s">
        <v>377</v>
      </c>
    </row>
    <row r="144" spans="1:9" ht="84" customHeight="1">
      <c r="A144" t="s">
        <v>160</v>
      </c>
      <c r="B144" t="s">
        <v>148</v>
      </c>
      <c r="C144" t="s">
        <v>34</v>
      </c>
      <c r="D144" t="s">
        <v>16</v>
      </c>
      <c r="E144" s="6" t="s">
        <v>392</v>
      </c>
      <c r="F144" s="6" t="s">
        <v>35</v>
      </c>
      <c r="G144" s="2" t="str">
        <f>IF(COUNT(G18)=0,"",G18)</f>
        <v/>
      </c>
      <c r="H144" s="2" t="s">
        <v>454</v>
      </c>
      <c r="I144" t="s">
        <v>393</v>
      </c>
    </row>
    <row r="145" spans="1:9" ht="84" customHeight="1">
      <c r="A145" t="s">
        <v>160</v>
      </c>
      <c r="B145" t="s">
        <v>148</v>
      </c>
      <c r="C145" t="s">
        <v>34</v>
      </c>
      <c r="D145" t="s">
        <v>16</v>
      </c>
      <c r="E145" s="6" t="s">
        <v>394</v>
      </c>
      <c r="F145" s="6" t="s">
        <v>35</v>
      </c>
      <c r="G145" s="2" t="str">
        <f>IF(COUNT(G19)=0,"",G19)</f>
        <v/>
      </c>
      <c r="H145" s="2" t="s">
        <v>455</v>
      </c>
      <c r="I145" t="s">
        <v>393</v>
      </c>
    </row>
    <row r="146" spans="1:9" ht="84" customHeight="1">
      <c r="A146" t="s">
        <v>162</v>
      </c>
      <c r="B146" t="s">
        <v>148</v>
      </c>
      <c r="C146" t="s">
        <v>37</v>
      </c>
      <c r="D146" t="s">
        <v>16</v>
      </c>
      <c r="E146" s="6" t="s">
        <v>395</v>
      </c>
      <c r="F146" s="6" t="s">
        <v>163</v>
      </c>
      <c r="G146" s="1"/>
      <c r="H146" s="1"/>
      <c r="I146" t="s">
        <v>396</v>
      </c>
    </row>
    <row r="147" spans="1:9" ht="84" customHeight="1">
      <c r="A147" t="s">
        <v>162</v>
      </c>
      <c r="B147" t="s">
        <v>148</v>
      </c>
      <c r="C147" t="s">
        <v>37</v>
      </c>
      <c r="D147" t="s">
        <v>16</v>
      </c>
      <c r="E147" s="6" t="s">
        <v>397</v>
      </c>
      <c r="F147" s="6" t="s">
        <v>163</v>
      </c>
      <c r="G147" s="1"/>
      <c r="H147" s="1"/>
      <c r="I147" t="s">
        <v>396</v>
      </c>
    </row>
    <row r="148" spans="1:9" ht="84" customHeight="1">
      <c r="A148" t="s">
        <v>162</v>
      </c>
      <c r="B148" t="s">
        <v>148</v>
      </c>
      <c r="C148" t="s">
        <v>37</v>
      </c>
      <c r="D148" t="s">
        <v>16</v>
      </c>
      <c r="E148" s="6" t="s">
        <v>398</v>
      </c>
      <c r="F148" s="6" t="s">
        <v>163</v>
      </c>
      <c r="G148" s="1"/>
      <c r="H148" s="1"/>
      <c r="I148" t="s">
        <v>396</v>
      </c>
    </row>
    <row r="149" spans="1:9" ht="84" customHeight="1">
      <c r="A149" t="s">
        <v>164</v>
      </c>
      <c r="B149" t="s">
        <v>148</v>
      </c>
      <c r="C149" t="s">
        <v>40</v>
      </c>
      <c r="D149" t="s">
        <v>16</v>
      </c>
      <c r="E149" s="6" t="s">
        <v>399</v>
      </c>
      <c r="F149" s="6" t="s">
        <v>35</v>
      </c>
      <c r="G149" s="2" t="str">
        <f>IF(COUNT(G23)=0,"",G23)</f>
        <v/>
      </c>
      <c r="H149" s="2" t="s">
        <v>456</v>
      </c>
      <c r="I149" t="s">
        <v>400</v>
      </c>
    </row>
    <row r="150" spans="1:9" ht="84" customHeight="1">
      <c r="A150" t="s">
        <v>164</v>
      </c>
      <c r="B150" t="s">
        <v>148</v>
      </c>
      <c r="C150" t="s">
        <v>40</v>
      </c>
      <c r="D150" t="s">
        <v>16</v>
      </c>
      <c r="E150" s="6" t="s">
        <v>401</v>
      </c>
      <c r="F150" s="6" t="s">
        <v>35</v>
      </c>
      <c r="G150" s="2" t="str">
        <f>IF(COUNT(G24)=0,"",G24)</f>
        <v/>
      </c>
      <c r="H150" s="2" t="s">
        <v>457</v>
      </c>
      <c r="I150" t="s">
        <v>400</v>
      </c>
    </row>
    <row r="151" spans="1:9" ht="84" customHeight="1">
      <c r="A151" t="s">
        <v>166</v>
      </c>
      <c r="B151" t="s">
        <v>148</v>
      </c>
      <c r="C151" t="s">
        <v>42</v>
      </c>
      <c r="D151" t="s">
        <v>16</v>
      </c>
      <c r="E151" s="6" t="s">
        <v>402</v>
      </c>
      <c r="F151" s="6" t="s">
        <v>167</v>
      </c>
      <c r="G151" s="1"/>
      <c r="H151" s="1"/>
      <c r="I151" t="s">
        <v>403</v>
      </c>
    </row>
    <row r="152" spans="1:9" ht="84" customHeight="1">
      <c r="A152" t="s">
        <v>166</v>
      </c>
      <c r="B152" t="s">
        <v>148</v>
      </c>
      <c r="C152" t="s">
        <v>42</v>
      </c>
      <c r="D152" t="s">
        <v>16</v>
      </c>
      <c r="E152" s="6" t="s">
        <v>404</v>
      </c>
      <c r="F152" s="6" t="s">
        <v>167</v>
      </c>
      <c r="G152" s="1"/>
      <c r="H152" s="1"/>
      <c r="I152" t="s">
        <v>403</v>
      </c>
    </row>
    <row r="153" spans="1:9" ht="84" customHeight="1">
      <c r="A153" t="s">
        <v>166</v>
      </c>
      <c r="B153" t="s">
        <v>148</v>
      </c>
      <c r="C153" t="s">
        <v>42</v>
      </c>
      <c r="D153" t="s">
        <v>16</v>
      </c>
      <c r="E153" s="6" t="s">
        <v>405</v>
      </c>
      <c r="F153" s="6" t="s">
        <v>167</v>
      </c>
      <c r="G153" s="1"/>
      <c r="H153" s="1"/>
      <c r="I153" t="s">
        <v>403</v>
      </c>
    </row>
    <row r="154" spans="1:9" ht="84" customHeight="1">
      <c r="A154" t="s">
        <v>168</v>
      </c>
      <c r="B154" t="s">
        <v>148</v>
      </c>
      <c r="C154" t="s">
        <v>45</v>
      </c>
      <c r="D154" t="s">
        <v>16</v>
      </c>
      <c r="E154" s="6" t="s">
        <v>406</v>
      </c>
      <c r="F154" s="6" t="s">
        <v>35</v>
      </c>
      <c r="G154" s="2" t="str">
        <f>IF(COUNT(G28)=0,"",G28)</f>
        <v/>
      </c>
      <c r="H154" s="2" t="s">
        <v>458</v>
      </c>
      <c r="I154" t="s">
        <v>407</v>
      </c>
    </row>
    <row r="155" spans="1:9" ht="84" customHeight="1">
      <c r="A155" t="s">
        <v>168</v>
      </c>
      <c r="B155" t="s">
        <v>148</v>
      </c>
      <c r="C155" t="s">
        <v>45</v>
      </c>
      <c r="D155" t="s">
        <v>16</v>
      </c>
      <c r="E155" s="6" t="s">
        <v>408</v>
      </c>
      <c r="F155" s="6" t="s">
        <v>35</v>
      </c>
      <c r="G155" s="2" t="str">
        <f>IF(COUNT(G29)=0,"",G29)</f>
        <v/>
      </c>
      <c r="H155" s="2" t="s">
        <v>459</v>
      </c>
      <c r="I155" t="s">
        <v>407</v>
      </c>
    </row>
    <row r="156" spans="1:9" ht="84" customHeight="1">
      <c r="A156" t="s">
        <v>170</v>
      </c>
      <c r="B156" t="s">
        <v>148</v>
      </c>
      <c r="C156" t="s">
        <v>47</v>
      </c>
      <c r="D156" t="s">
        <v>16</v>
      </c>
      <c r="E156" s="6" t="s">
        <v>392</v>
      </c>
      <c r="F156" s="6" t="s">
        <v>171</v>
      </c>
      <c r="G156" s="1"/>
      <c r="H156" s="1"/>
      <c r="I156" t="s">
        <v>393</v>
      </c>
    </row>
    <row r="157" spans="1:9" ht="84" customHeight="1">
      <c r="A157" t="s">
        <v>170</v>
      </c>
      <c r="B157" t="s">
        <v>148</v>
      </c>
      <c r="C157" t="s">
        <v>47</v>
      </c>
      <c r="D157" t="s">
        <v>16</v>
      </c>
      <c r="E157" s="6" t="s">
        <v>394</v>
      </c>
      <c r="F157" s="6" t="s">
        <v>171</v>
      </c>
      <c r="G157" s="1"/>
      <c r="H157" s="1"/>
      <c r="I157" t="s">
        <v>393</v>
      </c>
    </row>
    <row r="158" spans="1:9" ht="84" customHeight="1">
      <c r="A158" t="s">
        <v>172</v>
      </c>
      <c r="B158" t="s">
        <v>148</v>
      </c>
      <c r="C158" t="s">
        <v>50</v>
      </c>
      <c r="D158" t="s">
        <v>16</v>
      </c>
      <c r="E158" s="6" t="s">
        <v>409</v>
      </c>
      <c r="F158" s="6" t="s">
        <v>173</v>
      </c>
      <c r="G158" s="1"/>
      <c r="H158" s="1"/>
      <c r="I158" t="s">
        <v>410</v>
      </c>
    </row>
    <row r="159" spans="1:9" ht="84" customHeight="1">
      <c r="A159" t="s">
        <v>172</v>
      </c>
      <c r="B159" t="s">
        <v>148</v>
      </c>
      <c r="C159" t="s">
        <v>50</v>
      </c>
      <c r="D159" t="s">
        <v>16</v>
      </c>
      <c r="E159" s="6" t="s">
        <v>411</v>
      </c>
      <c r="F159" s="6" t="s">
        <v>173</v>
      </c>
      <c r="G159" s="1"/>
      <c r="H159" s="1"/>
      <c r="I159" t="s">
        <v>410</v>
      </c>
    </row>
    <row r="160" spans="1:9" ht="84" customHeight="1">
      <c r="A160" t="s">
        <v>174</v>
      </c>
      <c r="B160" t="s">
        <v>148</v>
      </c>
      <c r="C160" t="s">
        <v>53</v>
      </c>
      <c r="D160" t="s">
        <v>16</v>
      </c>
      <c r="E160" s="6" t="s">
        <v>412</v>
      </c>
      <c r="F160" s="6" t="s">
        <v>175</v>
      </c>
      <c r="G160" s="1"/>
      <c r="H160" s="1"/>
      <c r="I160" t="s">
        <v>413</v>
      </c>
    </row>
    <row r="161" spans="1:9" ht="84" customHeight="1">
      <c r="A161" t="s">
        <v>174</v>
      </c>
      <c r="B161" t="s">
        <v>148</v>
      </c>
      <c r="C161" t="s">
        <v>53</v>
      </c>
      <c r="D161" t="s">
        <v>16</v>
      </c>
      <c r="E161" s="6" t="s">
        <v>381</v>
      </c>
      <c r="F161" s="6" t="s">
        <v>175</v>
      </c>
      <c r="G161" s="1"/>
      <c r="H161" s="1"/>
      <c r="I161" t="s">
        <v>413</v>
      </c>
    </row>
    <row r="162" spans="1:9" ht="84" customHeight="1">
      <c r="A162" t="s">
        <v>176</v>
      </c>
      <c r="B162" t="s">
        <v>148</v>
      </c>
      <c r="C162" t="s">
        <v>56</v>
      </c>
      <c r="D162" t="s">
        <v>16</v>
      </c>
      <c r="E162" s="6" t="s">
        <v>414</v>
      </c>
      <c r="F162" s="6" t="s">
        <v>35</v>
      </c>
      <c r="G162" s="2" t="str">
        <f>IF(COUNT(G36)=0,"",G36)</f>
        <v/>
      </c>
      <c r="H162" s="2" t="s">
        <v>460</v>
      </c>
      <c r="I162" t="s">
        <v>415</v>
      </c>
    </row>
    <row r="163" spans="1:9" ht="84" customHeight="1">
      <c r="A163" t="s">
        <v>176</v>
      </c>
      <c r="B163" t="s">
        <v>148</v>
      </c>
      <c r="C163" t="s">
        <v>56</v>
      </c>
      <c r="D163" t="s">
        <v>16</v>
      </c>
      <c r="E163" s="6" t="s">
        <v>416</v>
      </c>
      <c r="F163" s="6" t="s">
        <v>35</v>
      </c>
      <c r="G163" s="2" t="str">
        <f>IF(COUNT(G37)=0,"",G37)</f>
        <v/>
      </c>
      <c r="H163" s="2" t="s">
        <v>461</v>
      </c>
      <c r="I163" t="s">
        <v>415</v>
      </c>
    </row>
    <row r="164" spans="1:9" ht="84" customHeight="1">
      <c r="A164" t="s">
        <v>178</v>
      </c>
      <c r="B164" t="s">
        <v>148</v>
      </c>
      <c r="C164" t="s">
        <v>58</v>
      </c>
      <c r="D164" t="s">
        <v>16</v>
      </c>
      <c r="E164" s="6" t="s">
        <v>417</v>
      </c>
      <c r="F164" s="6" t="s">
        <v>179</v>
      </c>
      <c r="G164" s="1"/>
      <c r="H164" s="1"/>
      <c r="I164" t="s">
        <v>418</v>
      </c>
    </row>
    <row r="165" spans="1:9" ht="84" customHeight="1">
      <c r="A165" t="s">
        <v>178</v>
      </c>
      <c r="B165" t="s">
        <v>148</v>
      </c>
      <c r="C165" t="s">
        <v>58</v>
      </c>
      <c r="D165" t="s">
        <v>16</v>
      </c>
      <c r="E165" s="6" t="s">
        <v>419</v>
      </c>
      <c r="F165" s="6" t="s">
        <v>179</v>
      </c>
      <c r="G165" s="1"/>
      <c r="H165" s="1"/>
      <c r="I165" t="s">
        <v>418</v>
      </c>
    </row>
    <row r="166" spans="1:9" ht="84" customHeight="1">
      <c r="A166" t="s">
        <v>180</v>
      </c>
      <c r="B166" t="s">
        <v>148</v>
      </c>
      <c r="C166" t="s">
        <v>61</v>
      </c>
      <c r="D166" t="s">
        <v>16</v>
      </c>
      <c r="E166" s="6" t="s">
        <v>420</v>
      </c>
      <c r="F166" s="6" t="s">
        <v>62</v>
      </c>
      <c r="G166" s="2" t="str">
        <f>IF(COUNT(G40)=0,"",G40)</f>
        <v/>
      </c>
      <c r="H166" s="2" t="s">
        <v>462</v>
      </c>
      <c r="I166" t="s">
        <v>421</v>
      </c>
    </row>
    <row r="167" spans="1:9" ht="84" customHeight="1">
      <c r="A167" t="s">
        <v>180</v>
      </c>
      <c r="B167" t="s">
        <v>148</v>
      </c>
      <c r="C167" t="s">
        <v>61</v>
      </c>
      <c r="D167" t="s">
        <v>16</v>
      </c>
      <c r="E167" s="6" t="s">
        <v>422</v>
      </c>
      <c r="F167" s="6" t="s">
        <v>62</v>
      </c>
      <c r="G167" s="2" t="str">
        <f>IF(COUNT(G41)=0,"",G41)</f>
        <v/>
      </c>
      <c r="H167" s="2" t="s">
        <v>463</v>
      </c>
      <c r="I167" t="s">
        <v>421</v>
      </c>
    </row>
    <row r="168" spans="1:9" ht="84" customHeight="1">
      <c r="A168" t="s">
        <v>182</v>
      </c>
      <c r="B168" t="s">
        <v>148</v>
      </c>
      <c r="C168" t="s">
        <v>64</v>
      </c>
      <c r="D168" t="s">
        <v>16</v>
      </c>
      <c r="E168" s="6" t="s">
        <v>409</v>
      </c>
      <c r="F168" s="6" t="s">
        <v>183</v>
      </c>
      <c r="G168" s="1"/>
      <c r="H168" s="1"/>
      <c r="I168" t="s">
        <v>410</v>
      </c>
    </row>
    <row r="169" spans="1:9" ht="84" customHeight="1">
      <c r="A169" t="s">
        <v>182</v>
      </c>
      <c r="B169" t="s">
        <v>148</v>
      </c>
      <c r="C169" t="s">
        <v>64</v>
      </c>
      <c r="D169" t="s">
        <v>16</v>
      </c>
      <c r="E169" s="6" t="s">
        <v>411</v>
      </c>
      <c r="F169" s="6" t="s">
        <v>183</v>
      </c>
      <c r="G169" s="1"/>
      <c r="H169" s="1"/>
      <c r="I169" t="s">
        <v>410</v>
      </c>
    </row>
    <row r="170" spans="1:9" ht="84" customHeight="1">
      <c r="A170" t="s">
        <v>184</v>
      </c>
      <c r="B170" t="s">
        <v>148</v>
      </c>
      <c r="C170" t="s">
        <v>67</v>
      </c>
      <c r="D170" t="s">
        <v>16</v>
      </c>
      <c r="E170" s="6" t="s">
        <v>423</v>
      </c>
      <c r="F170" s="6" t="s">
        <v>35</v>
      </c>
      <c r="G170" s="2" t="str">
        <f t="shared" ref="G170:G193" si="0">IF(COUNT(G44)=0,"",G44)</f>
        <v/>
      </c>
      <c r="H170" s="2" t="s">
        <v>464</v>
      </c>
      <c r="I170" t="s">
        <v>424</v>
      </c>
    </row>
    <row r="171" spans="1:9" ht="84" customHeight="1">
      <c r="A171" t="s">
        <v>184</v>
      </c>
      <c r="B171" t="s">
        <v>148</v>
      </c>
      <c r="C171" t="s">
        <v>67</v>
      </c>
      <c r="D171" t="s">
        <v>16</v>
      </c>
      <c r="E171" s="6" t="s">
        <v>425</v>
      </c>
      <c r="F171" s="6" t="s">
        <v>35</v>
      </c>
      <c r="G171" s="2" t="str">
        <f t="shared" si="0"/>
        <v/>
      </c>
      <c r="H171" s="2" t="s">
        <v>465</v>
      </c>
      <c r="I171" t="s">
        <v>424</v>
      </c>
    </row>
    <row r="172" spans="1:9" ht="84" customHeight="1">
      <c r="A172" t="s">
        <v>186</v>
      </c>
      <c r="B172" t="s">
        <v>148</v>
      </c>
      <c r="C172" t="s">
        <v>69</v>
      </c>
      <c r="D172" t="s">
        <v>16</v>
      </c>
      <c r="E172" s="6" t="s">
        <v>426</v>
      </c>
      <c r="F172" s="6" t="s">
        <v>35</v>
      </c>
      <c r="G172" s="2" t="str">
        <f t="shared" si="0"/>
        <v/>
      </c>
      <c r="H172" s="2" t="s">
        <v>466</v>
      </c>
      <c r="I172" t="s">
        <v>427</v>
      </c>
    </row>
    <row r="173" spans="1:9" ht="84" customHeight="1">
      <c r="A173" t="s">
        <v>186</v>
      </c>
      <c r="B173" t="s">
        <v>148</v>
      </c>
      <c r="C173" t="s">
        <v>69</v>
      </c>
      <c r="D173" t="s">
        <v>16</v>
      </c>
      <c r="E173" s="6" t="s">
        <v>428</v>
      </c>
      <c r="F173" s="6" t="s">
        <v>35</v>
      </c>
      <c r="G173" s="2" t="str">
        <f t="shared" si="0"/>
        <v/>
      </c>
      <c r="H173" s="2" t="s">
        <v>467</v>
      </c>
      <c r="I173" t="s">
        <v>427</v>
      </c>
    </row>
    <row r="174" spans="1:9" ht="84" customHeight="1">
      <c r="A174" t="s">
        <v>188</v>
      </c>
      <c r="B174" t="s">
        <v>148</v>
      </c>
      <c r="C174" t="s">
        <v>71</v>
      </c>
      <c r="D174" t="s">
        <v>16</v>
      </c>
      <c r="E174" s="6" t="s">
        <v>429</v>
      </c>
      <c r="F174" s="6" t="s">
        <v>35</v>
      </c>
      <c r="G174" s="2" t="str">
        <f t="shared" si="0"/>
        <v/>
      </c>
      <c r="H174" s="2" t="s">
        <v>468</v>
      </c>
      <c r="I174" t="s">
        <v>430</v>
      </c>
    </row>
    <row r="175" spans="1:9" ht="84" customHeight="1">
      <c r="A175" t="s">
        <v>188</v>
      </c>
      <c r="B175" t="s">
        <v>148</v>
      </c>
      <c r="C175" t="s">
        <v>71</v>
      </c>
      <c r="D175" t="s">
        <v>16</v>
      </c>
      <c r="E175" s="6" t="s">
        <v>431</v>
      </c>
      <c r="F175" s="6" t="s">
        <v>35</v>
      </c>
      <c r="G175" s="2" t="str">
        <f t="shared" si="0"/>
        <v/>
      </c>
      <c r="H175" s="2" t="s">
        <v>469</v>
      </c>
      <c r="I175" t="s">
        <v>430</v>
      </c>
    </row>
    <row r="176" spans="1:9" ht="84" customHeight="1">
      <c r="A176" t="s">
        <v>188</v>
      </c>
      <c r="B176" t="s">
        <v>148</v>
      </c>
      <c r="C176" t="s">
        <v>71</v>
      </c>
      <c r="D176" t="s">
        <v>16</v>
      </c>
      <c r="E176" s="6" t="s">
        <v>432</v>
      </c>
      <c r="F176" s="6" t="s">
        <v>35</v>
      </c>
      <c r="G176" s="2" t="str">
        <f t="shared" si="0"/>
        <v/>
      </c>
      <c r="H176" s="2" t="s">
        <v>470</v>
      </c>
      <c r="I176" t="s">
        <v>430</v>
      </c>
    </row>
    <row r="177" spans="1:9" ht="84" customHeight="1">
      <c r="A177" t="s">
        <v>190</v>
      </c>
      <c r="B177" t="s">
        <v>148</v>
      </c>
      <c r="C177" t="s">
        <v>73</v>
      </c>
      <c r="D177" t="s">
        <v>16</v>
      </c>
      <c r="E177" s="6" t="s">
        <v>433</v>
      </c>
      <c r="F177" s="6" t="s">
        <v>35</v>
      </c>
      <c r="G177" s="2" t="str">
        <f t="shared" si="0"/>
        <v/>
      </c>
      <c r="H177" s="2" t="s">
        <v>471</v>
      </c>
      <c r="I177" t="s">
        <v>434</v>
      </c>
    </row>
    <row r="178" spans="1:9" ht="84" customHeight="1">
      <c r="A178" t="s">
        <v>190</v>
      </c>
      <c r="B178" t="s">
        <v>148</v>
      </c>
      <c r="C178" t="s">
        <v>73</v>
      </c>
      <c r="D178" t="s">
        <v>16</v>
      </c>
      <c r="E178" s="6" t="s">
        <v>435</v>
      </c>
      <c r="F178" s="6" t="s">
        <v>35</v>
      </c>
      <c r="G178" s="2" t="str">
        <f t="shared" si="0"/>
        <v/>
      </c>
      <c r="H178" s="2" t="s">
        <v>472</v>
      </c>
      <c r="I178" t="s">
        <v>434</v>
      </c>
    </row>
    <row r="179" spans="1:9" ht="84" customHeight="1">
      <c r="A179" t="s">
        <v>190</v>
      </c>
      <c r="B179" t="s">
        <v>148</v>
      </c>
      <c r="C179" t="s">
        <v>73</v>
      </c>
      <c r="D179" t="s">
        <v>16</v>
      </c>
      <c r="E179" s="6" t="s">
        <v>436</v>
      </c>
      <c r="F179" s="6" t="s">
        <v>35</v>
      </c>
      <c r="G179" s="2" t="str">
        <f t="shared" si="0"/>
        <v/>
      </c>
      <c r="H179" s="2" t="s">
        <v>473</v>
      </c>
      <c r="I179" t="s">
        <v>434</v>
      </c>
    </row>
    <row r="180" spans="1:9" ht="84" customHeight="1">
      <c r="A180" t="s">
        <v>192</v>
      </c>
      <c r="B180" t="s">
        <v>148</v>
      </c>
      <c r="C180" t="s">
        <v>75</v>
      </c>
      <c r="D180" t="s">
        <v>16</v>
      </c>
      <c r="E180" s="6" t="s">
        <v>437</v>
      </c>
      <c r="F180" s="6" t="s">
        <v>35</v>
      </c>
      <c r="G180" s="2" t="str">
        <f t="shared" si="0"/>
        <v/>
      </c>
      <c r="H180" s="2" t="s">
        <v>474</v>
      </c>
      <c r="I180" t="s">
        <v>438</v>
      </c>
    </row>
    <row r="181" spans="1:9" ht="84" customHeight="1">
      <c r="A181" t="s">
        <v>192</v>
      </c>
      <c r="B181" t="s">
        <v>148</v>
      </c>
      <c r="C181" t="s">
        <v>75</v>
      </c>
      <c r="D181" t="s">
        <v>16</v>
      </c>
      <c r="E181" s="6" t="s">
        <v>439</v>
      </c>
      <c r="F181" s="6" t="s">
        <v>35</v>
      </c>
      <c r="G181" s="2" t="str">
        <f t="shared" si="0"/>
        <v/>
      </c>
      <c r="H181" s="2" t="s">
        <v>475</v>
      </c>
      <c r="I181" t="s">
        <v>438</v>
      </c>
    </row>
    <row r="182" spans="1:9" ht="84" customHeight="1">
      <c r="A182" t="s">
        <v>194</v>
      </c>
      <c r="B182" t="s">
        <v>148</v>
      </c>
      <c r="C182" t="s">
        <v>77</v>
      </c>
      <c r="D182" t="s">
        <v>16</v>
      </c>
      <c r="E182" s="6" t="s">
        <v>423</v>
      </c>
      <c r="F182" s="6" t="s">
        <v>35</v>
      </c>
      <c r="G182" s="2" t="str">
        <f t="shared" si="0"/>
        <v/>
      </c>
      <c r="H182" s="2" t="s">
        <v>476</v>
      </c>
      <c r="I182" t="s">
        <v>427</v>
      </c>
    </row>
    <row r="183" spans="1:9" ht="84" customHeight="1">
      <c r="A183" t="s">
        <v>194</v>
      </c>
      <c r="B183" t="s">
        <v>148</v>
      </c>
      <c r="C183" t="s">
        <v>77</v>
      </c>
      <c r="D183" t="s">
        <v>16</v>
      </c>
      <c r="E183" s="6" t="s">
        <v>426</v>
      </c>
      <c r="F183" s="6" t="s">
        <v>35</v>
      </c>
      <c r="G183" s="2" t="str">
        <f t="shared" si="0"/>
        <v/>
      </c>
      <c r="H183" s="2" t="s">
        <v>477</v>
      </c>
      <c r="I183" t="s">
        <v>427</v>
      </c>
    </row>
    <row r="184" spans="1:9" ht="84" customHeight="1">
      <c r="A184" t="s">
        <v>196</v>
      </c>
      <c r="B184" t="s">
        <v>148</v>
      </c>
      <c r="C184" t="s">
        <v>79</v>
      </c>
      <c r="D184" t="s">
        <v>16</v>
      </c>
      <c r="E184" s="6" t="s">
        <v>440</v>
      </c>
      <c r="F184" s="6" t="s">
        <v>35</v>
      </c>
      <c r="G184" s="2" t="str">
        <f t="shared" si="0"/>
        <v/>
      </c>
      <c r="H184" s="2" t="s">
        <v>478</v>
      </c>
      <c r="I184" t="s">
        <v>441</v>
      </c>
    </row>
    <row r="185" spans="1:9" ht="84" customHeight="1">
      <c r="A185" t="s">
        <v>198</v>
      </c>
      <c r="B185" t="s">
        <v>148</v>
      </c>
      <c r="C185" t="s">
        <v>81</v>
      </c>
      <c r="D185" t="s">
        <v>16</v>
      </c>
      <c r="E185" s="6" t="s">
        <v>442</v>
      </c>
      <c r="F185" s="6" t="s">
        <v>35</v>
      </c>
      <c r="G185" s="2" t="str">
        <f t="shared" si="0"/>
        <v/>
      </c>
      <c r="H185" s="2" t="s">
        <v>479</v>
      </c>
      <c r="I185" t="s">
        <v>443</v>
      </c>
    </row>
    <row r="186" spans="1:9" ht="84" customHeight="1">
      <c r="A186" t="s">
        <v>198</v>
      </c>
      <c r="B186" t="s">
        <v>148</v>
      </c>
      <c r="C186" t="s">
        <v>81</v>
      </c>
      <c r="D186" t="s">
        <v>16</v>
      </c>
      <c r="E186" s="6" t="s">
        <v>444</v>
      </c>
      <c r="F186" s="6" t="s">
        <v>35</v>
      </c>
      <c r="G186" s="2" t="str">
        <f t="shared" si="0"/>
        <v/>
      </c>
      <c r="H186" s="2" t="s">
        <v>480</v>
      </c>
      <c r="I186" t="s">
        <v>443</v>
      </c>
    </row>
    <row r="187" spans="1:9" ht="84" customHeight="1">
      <c r="A187" t="s">
        <v>200</v>
      </c>
      <c r="B187" t="s">
        <v>148</v>
      </c>
      <c r="C187" t="s">
        <v>83</v>
      </c>
      <c r="D187" t="s">
        <v>16</v>
      </c>
      <c r="E187" s="6" t="s">
        <v>445</v>
      </c>
      <c r="F187" s="6" t="s">
        <v>35</v>
      </c>
      <c r="G187" s="2" t="str">
        <f t="shared" si="0"/>
        <v/>
      </c>
      <c r="H187" s="2" t="s">
        <v>481</v>
      </c>
      <c r="I187" t="s">
        <v>446</v>
      </c>
    </row>
    <row r="188" spans="1:9" ht="84" customHeight="1">
      <c r="A188" t="s">
        <v>200</v>
      </c>
      <c r="B188" t="s">
        <v>148</v>
      </c>
      <c r="C188" t="s">
        <v>83</v>
      </c>
      <c r="D188" t="s">
        <v>16</v>
      </c>
      <c r="E188" s="6" t="s">
        <v>447</v>
      </c>
      <c r="F188" s="6" t="s">
        <v>35</v>
      </c>
      <c r="G188" s="2" t="str">
        <f t="shared" si="0"/>
        <v/>
      </c>
      <c r="H188" s="2" t="s">
        <v>482</v>
      </c>
      <c r="I188" t="s">
        <v>446</v>
      </c>
    </row>
    <row r="189" spans="1:9" ht="84" customHeight="1">
      <c r="A189" t="s">
        <v>202</v>
      </c>
      <c r="B189" t="s">
        <v>148</v>
      </c>
      <c r="C189" t="s">
        <v>85</v>
      </c>
      <c r="D189" t="s">
        <v>16</v>
      </c>
      <c r="E189" s="6" t="s">
        <v>448</v>
      </c>
      <c r="F189" s="6" t="s">
        <v>35</v>
      </c>
      <c r="G189" s="2" t="str">
        <f t="shared" si="0"/>
        <v/>
      </c>
      <c r="H189" s="2" t="s">
        <v>483</v>
      </c>
      <c r="I189" t="s">
        <v>449</v>
      </c>
    </row>
    <row r="190" spans="1:9" ht="84" customHeight="1">
      <c r="A190" t="s">
        <v>202</v>
      </c>
      <c r="B190" t="s">
        <v>148</v>
      </c>
      <c r="C190" t="s">
        <v>85</v>
      </c>
      <c r="D190" t="s">
        <v>16</v>
      </c>
      <c r="E190" s="6" t="s">
        <v>450</v>
      </c>
      <c r="F190" s="6" t="s">
        <v>35</v>
      </c>
      <c r="G190" s="2" t="str">
        <f t="shared" si="0"/>
        <v/>
      </c>
      <c r="H190" s="2" t="s">
        <v>484</v>
      </c>
      <c r="I190" t="s">
        <v>449</v>
      </c>
    </row>
    <row r="191" spans="1:9" ht="84" customHeight="1">
      <c r="A191" t="s">
        <v>204</v>
      </c>
      <c r="B191" t="s">
        <v>148</v>
      </c>
      <c r="C191" t="s">
        <v>87</v>
      </c>
      <c r="D191" t="s">
        <v>16</v>
      </c>
      <c r="E191" s="6" t="s">
        <v>451</v>
      </c>
      <c r="F191" s="6" t="s">
        <v>35</v>
      </c>
      <c r="G191" s="2" t="str">
        <f t="shared" si="0"/>
        <v/>
      </c>
      <c r="H191" s="2" t="s">
        <v>485</v>
      </c>
      <c r="I191" t="s">
        <v>452</v>
      </c>
    </row>
    <row r="192" spans="1:9" ht="84" customHeight="1">
      <c r="A192" t="s">
        <v>204</v>
      </c>
      <c r="B192" t="s">
        <v>148</v>
      </c>
      <c r="C192" t="s">
        <v>87</v>
      </c>
      <c r="D192" t="s">
        <v>16</v>
      </c>
      <c r="E192" s="6" t="s">
        <v>453</v>
      </c>
      <c r="F192" s="6" t="s">
        <v>35</v>
      </c>
      <c r="G192" s="2" t="str">
        <f t="shared" si="0"/>
        <v/>
      </c>
      <c r="H192" s="2" t="s">
        <v>486</v>
      </c>
      <c r="I192" t="s">
        <v>452</v>
      </c>
    </row>
    <row r="193" spans="1:9" ht="84" customHeight="1">
      <c r="A193" t="s">
        <v>206</v>
      </c>
      <c r="B193" t="s">
        <v>148</v>
      </c>
      <c r="C193" t="s">
        <v>89</v>
      </c>
      <c r="D193" t="s">
        <v>16</v>
      </c>
      <c r="E193" s="6" t="s">
        <v>440</v>
      </c>
      <c r="F193" s="6" t="s">
        <v>35</v>
      </c>
      <c r="G193" s="2" t="str">
        <f t="shared" si="0"/>
        <v/>
      </c>
      <c r="H193" s="2" t="s">
        <v>487</v>
      </c>
      <c r="I193" t="s">
        <v>441</v>
      </c>
    </row>
    <row r="194" spans="1:9" ht="84" customHeight="1">
      <c r="A194" t="s">
        <v>208</v>
      </c>
      <c r="B194" t="s">
        <v>148</v>
      </c>
      <c r="C194" t="s">
        <v>15</v>
      </c>
      <c r="D194" t="s">
        <v>91</v>
      </c>
      <c r="E194" s="6" t="s">
        <v>376</v>
      </c>
      <c r="F194" s="6" t="s">
        <v>209</v>
      </c>
      <c r="G194" s="1"/>
      <c r="H194" s="1"/>
      <c r="I194" t="s">
        <v>377</v>
      </c>
    </row>
    <row r="195" spans="1:9" ht="84" customHeight="1">
      <c r="A195" t="s">
        <v>208</v>
      </c>
      <c r="B195" t="s">
        <v>148</v>
      </c>
      <c r="C195" t="s">
        <v>15</v>
      </c>
      <c r="D195" t="s">
        <v>91</v>
      </c>
      <c r="E195" s="6" t="s">
        <v>378</v>
      </c>
      <c r="F195" s="6" t="s">
        <v>209</v>
      </c>
      <c r="G195" s="1"/>
      <c r="H195" s="1"/>
      <c r="I195" t="s">
        <v>377</v>
      </c>
    </row>
    <row r="196" spans="1:9" ht="84" customHeight="1">
      <c r="A196" t="s">
        <v>210</v>
      </c>
      <c r="B196" t="s">
        <v>148</v>
      </c>
      <c r="C196" t="s">
        <v>19</v>
      </c>
      <c r="D196" t="s">
        <v>91</v>
      </c>
      <c r="E196" s="6" t="s">
        <v>379</v>
      </c>
      <c r="F196" s="6" t="s">
        <v>211</v>
      </c>
      <c r="G196" s="1"/>
      <c r="H196" s="1"/>
      <c r="I196" t="s">
        <v>380</v>
      </c>
    </row>
    <row r="197" spans="1:9" ht="84" customHeight="1">
      <c r="A197" t="s">
        <v>210</v>
      </c>
      <c r="B197" t="s">
        <v>148</v>
      </c>
      <c r="C197" t="s">
        <v>19</v>
      </c>
      <c r="D197" t="s">
        <v>91</v>
      </c>
      <c r="E197" s="6" t="s">
        <v>381</v>
      </c>
      <c r="F197" s="6" t="s">
        <v>211</v>
      </c>
      <c r="G197" s="1"/>
      <c r="H197" s="1"/>
      <c r="I197" t="s">
        <v>380</v>
      </c>
    </row>
    <row r="198" spans="1:9" ht="84" customHeight="1">
      <c r="A198" t="s">
        <v>212</v>
      </c>
      <c r="B198" t="s">
        <v>148</v>
      </c>
      <c r="C198" t="s">
        <v>22</v>
      </c>
      <c r="D198" t="s">
        <v>91</v>
      </c>
      <c r="E198" s="6" t="s">
        <v>382</v>
      </c>
      <c r="F198" s="6" t="s">
        <v>213</v>
      </c>
      <c r="G198" s="1"/>
      <c r="H198" s="1"/>
      <c r="I198" t="s">
        <v>383</v>
      </c>
    </row>
    <row r="199" spans="1:9" ht="84" customHeight="1">
      <c r="A199" t="s">
        <v>212</v>
      </c>
      <c r="B199" t="s">
        <v>148</v>
      </c>
      <c r="C199" t="s">
        <v>22</v>
      </c>
      <c r="D199" t="s">
        <v>91</v>
      </c>
      <c r="E199" s="6" t="s">
        <v>384</v>
      </c>
      <c r="F199" s="6" t="s">
        <v>213</v>
      </c>
      <c r="G199" s="1"/>
      <c r="H199" s="1"/>
      <c r="I199" t="s">
        <v>383</v>
      </c>
    </row>
    <row r="200" spans="1:9" ht="84" customHeight="1">
      <c r="A200" t="s">
        <v>214</v>
      </c>
      <c r="B200" t="s">
        <v>148</v>
      </c>
      <c r="C200" t="s">
        <v>25</v>
      </c>
      <c r="D200" t="s">
        <v>91</v>
      </c>
      <c r="E200" s="6" t="s">
        <v>385</v>
      </c>
      <c r="F200" s="6" t="s">
        <v>215</v>
      </c>
      <c r="G200" s="1"/>
      <c r="H200" s="1"/>
      <c r="I200" t="s">
        <v>386</v>
      </c>
    </row>
    <row r="201" spans="1:9" ht="84" customHeight="1">
      <c r="A201" t="s">
        <v>214</v>
      </c>
      <c r="B201" t="s">
        <v>148</v>
      </c>
      <c r="C201" t="s">
        <v>25</v>
      </c>
      <c r="D201" t="s">
        <v>91</v>
      </c>
      <c r="E201" s="6" t="s">
        <v>387</v>
      </c>
      <c r="F201" s="6" t="s">
        <v>215</v>
      </c>
      <c r="G201" s="1"/>
      <c r="H201" s="1"/>
      <c r="I201" t="s">
        <v>386</v>
      </c>
    </row>
    <row r="202" spans="1:9" ht="84" customHeight="1">
      <c r="A202" t="s">
        <v>214</v>
      </c>
      <c r="B202" t="s">
        <v>148</v>
      </c>
      <c r="C202" t="s">
        <v>25</v>
      </c>
      <c r="D202" t="s">
        <v>91</v>
      </c>
      <c r="E202" s="6" t="s">
        <v>388</v>
      </c>
      <c r="F202" s="6" t="s">
        <v>215</v>
      </c>
      <c r="G202" s="1"/>
      <c r="H202" s="1"/>
      <c r="I202" t="s">
        <v>386</v>
      </c>
    </row>
    <row r="203" spans="1:9" ht="84" customHeight="1">
      <c r="A203" t="s">
        <v>216</v>
      </c>
      <c r="B203" t="s">
        <v>148</v>
      </c>
      <c r="C203" t="s">
        <v>28</v>
      </c>
      <c r="D203" t="s">
        <v>91</v>
      </c>
      <c r="E203" s="6" t="s">
        <v>389</v>
      </c>
      <c r="F203" s="6" t="s">
        <v>217</v>
      </c>
      <c r="G203" s="1"/>
      <c r="H203" s="1"/>
      <c r="I203" t="s">
        <v>390</v>
      </c>
    </row>
    <row r="204" spans="1:9" ht="84" customHeight="1">
      <c r="A204" t="s">
        <v>216</v>
      </c>
      <c r="B204" t="s">
        <v>148</v>
      </c>
      <c r="C204" t="s">
        <v>28</v>
      </c>
      <c r="D204" t="s">
        <v>91</v>
      </c>
      <c r="E204" s="6" t="s">
        <v>391</v>
      </c>
      <c r="F204" s="6" t="s">
        <v>217</v>
      </c>
      <c r="G204" s="1"/>
      <c r="H204" s="1"/>
      <c r="I204" t="s">
        <v>390</v>
      </c>
    </row>
    <row r="205" spans="1:9" ht="84" customHeight="1">
      <c r="A205" t="s">
        <v>218</v>
      </c>
      <c r="B205" t="s">
        <v>148</v>
      </c>
      <c r="C205" t="s">
        <v>31</v>
      </c>
      <c r="D205" t="s">
        <v>91</v>
      </c>
      <c r="E205" s="6" t="s">
        <v>376</v>
      </c>
      <c r="F205" s="6" t="s">
        <v>219</v>
      </c>
      <c r="G205" s="1"/>
      <c r="H205" s="1"/>
      <c r="I205" t="s">
        <v>377</v>
      </c>
    </row>
    <row r="206" spans="1:9" ht="84" customHeight="1">
      <c r="A206" t="s">
        <v>218</v>
      </c>
      <c r="B206" t="s">
        <v>148</v>
      </c>
      <c r="C206" t="s">
        <v>31</v>
      </c>
      <c r="D206" t="s">
        <v>91</v>
      </c>
      <c r="E206" s="6" t="s">
        <v>378</v>
      </c>
      <c r="F206" s="6" t="s">
        <v>219</v>
      </c>
      <c r="G206" s="1"/>
      <c r="H206" s="1"/>
      <c r="I206" t="s">
        <v>377</v>
      </c>
    </row>
    <row r="207" spans="1:9" ht="84" customHeight="1">
      <c r="A207" t="s">
        <v>220</v>
      </c>
      <c r="B207" t="s">
        <v>148</v>
      </c>
      <c r="C207" t="s">
        <v>34</v>
      </c>
      <c r="D207" t="s">
        <v>91</v>
      </c>
      <c r="E207" s="6" t="s">
        <v>392</v>
      </c>
      <c r="F207" s="6" t="s">
        <v>221</v>
      </c>
      <c r="G207" s="1"/>
      <c r="H207" s="1"/>
      <c r="I207" t="s">
        <v>393</v>
      </c>
    </row>
    <row r="208" spans="1:9" ht="84" customHeight="1">
      <c r="A208" t="s">
        <v>220</v>
      </c>
      <c r="B208" t="s">
        <v>148</v>
      </c>
      <c r="C208" t="s">
        <v>34</v>
      </c>
      <c r="D208" t="s">
        <v>91</v>
      </c>
      <c r="E208" s="6" t="s">
        <v>394</v>
      </c>
      <c r="F208" s="6" t="s">
        <v>221</v>
      </c>
      <c r="G208" s="1"/>
      <c r="H208" s="1"/>
      <c r="I208" t="s">
        <v>393</v>
      </c>
    </row>
    <row r="209" spans="1:9" ht="84" customHeight="1">
      <c r="A209" t="s">
        <v>222</v>
      </c>
      <c r="B209" t="s">
        <v>148</v>
      </c>
      <c r="C209" t="s">
        <v>37</v>
      </c>
      <c r="D209" t="s">
        <v>91</v>
      </c>
      <c r="E209" s="6" t="s">
        <v>395</v>
      </c>
      <c r="F209" s="6" t="s">
        <v>223</v>
      </c>
      <c r="G209" s="1"/>
      <c r="H209" s="1"/>
      <c r="I209" t="s">
        <v>396</v>
      </c>
    </row>
    <row r="210" spans="1:9" ht="84" customHeight="1">
      <c r="A210" t="s">
        <v>222</v>
      </c>
      <c r="B210" t="s">
        <v>148</v>
      </c>
      <c r="C210" t="s">
        <v>37</v>
      </c>
      <c r="D210" t="s">
        <v>91</v>
      </c>
      <c r="E210" s="6" t="s">
        <v>397</v>
      </c>
      <c r="F210" s="6" t="s">
        <v>223</v>
      </c>
      <c r="G210" s="1"/>
      <c r="H210" s="1"/>
      <c r="I210" t="s">
        <v>396</v>
      </c>
    </row>
    <row r="211" spans="1:9" ht="84" customHeight="1">
      <c r="A211" t="s">
        <v>222</v>
      </c>
      <c r="B211" t="s">
        <v>148</v>
      </c>
      <c r="C211" t="s">
        <v>37</v>
      </c>
      <c r="D211" t="s">
        <v>91</v>
      </c>
      <c r="E211" s="6" t="s">
        <v>398</v>
      </c>
      <c r="F211" s="6" t="s">
        <v>223</v>
      </c>
      <c r="G211" s="1"/>
      <c r="H211" s="1"/>
      <c r="I211" t="s">
        <v>396</v>
      </c>
    </row>
    <row r="212" spans="1:9" ht="84" customHeight="1">
      <c r="A212" t="s">
        <v>224</v>
      </c>
      <c r="B212" t="s">
        <v>148</v>
      </c>
      <c r="C212" t="s">
        <v>40</v>
      </c>
      <c r="D212" t="s">
        <v>91</v>
      </c>
      <c r="E212" s="6" t="s">
        <v>399</v>
      </c>
      <c r="F212" s="6" t="s">
        <v>225</v>
      </c>
      <c r="G212" s="1"/>
      <c r="H212" s="1"/>
      <c r="I212" t="s">
        <v>400</v>
      </c>
    </row>
    <row r="213" spans="1:9" ht="84" customHeight="1">
      <c r="A213" t="s">
        <v>224</v>
      </c>
      <c r="B213" t="s">
        <v>148</v>
      </c>
      <c r="C213" t="s">
        <v>40</v>
      </c>
      <c r="D213" t="s">
        <v>91</v>
      </c>
      <c r="E213" s="6" t="s">
        <v>401</v>
      </c>
      <c r="F213" s="6" t="s">
        <v>225</v>
      </c>
      <c r="G213" s="1"/>
      <c r="H213" s="1"/>
      <c r="I213" t="s">
        <v>400</v>
      </c>
    </row>
    <row r="214" spans="1:9" ht="84" customHeight="1">
      <c r="A214" t="s">
        <v>226</v>
      </c>
      <c r="B214" t="s">
        <v>148</v>
      </c>
      <c r="C214" t="s">
        <v>42</v>
      </c>
      <c r="D214" t="s">
        <v>91</v>
      </c>
      <c r="E214" s="6" t="s">
        <v>402</v>
      </c>
      <c r="F214" s="6" t="s">
        <v>227</v>
      </c>
      <c r="G214" s="1"/>
      <c r="H214" s="1"/>
      <c r="I214" t="s">
        <v>403</v>
      </c>
    </row>
    <row r="215" spans="1:9" ht="84" customHeight="1">
      <c r="A215" t="s">
        <v>226</v>
      </c>
      <c r="B215" t="s">
        <v>148</v>
      </c>
      <c r="C215" t="s">
        <v>42</v>
      </c>
      <c r="D215" t="s">
        <v>91</v>
      </c>
      <c r="E215" s="6" t="s">
        <v>404</v>
      </c>
      <c r="F215" s="6" t="s">
        <v>227</v>
      </c>
      <c r="G215" s="1"/>
      <c r="H215" s="1"/>
      <c r="I215" t="s">
        <v>403</v>
      </c>
    </row>
    <row r="216" spans="1:9" ht="84" customHeight="1">
      <c r="A216" t="s">
        <v>226</v>
      </c>
      <c r="B216" t="s">
        <v>148</v>
      </c>
      <c r="C216" t="s">
        <v>42</v>
      </c>
      <c r="D216" t="s">
        <v>91</v>
      </c>
      <c r="E216" s="6" t="s">
        <v>405</v>
      </c>
      <c r="F216" s="6" t="s">
        <v>227</v>
      </c>
      <c r="G216" s="1"/>
      <c r="H216" s="1"/>
      <c r="I216" t="s">
        <v>403</v>
      </c>
    </row>
    <row r="217" spans="1:9" ht="84" customHeight="1">
      <c r="A217" t="s">
        <v>228</v>
      </c>
      <c r="B217" t="s">
        <v>148</v>
      </c>
      <c r="C217" t="s">
        <v>45</v>
      </c>
      <c r="D217" t="s">
        <v>91</v>
      </c>
      <c r="E217" s="6" t="s">
        <v>406</v>
      </c>
      <c r="F217" s="6" t="s">
        <v>229</v>
      </c>
      <c r="G217" s="1"/>
      <c r="H217" s="1"/>
      <c r="I217" t="s">
        <v>407</v>
      </c>
    </row>
    <row r="218" spans="1:9" ht="84" customHeight="1">
      <c r="A218" t="s">
        <v>228</v>
      </c>
      <c r="B218" t="s">
        <v>148</v>
      </c>
      <c r="C218" t="s">
        <v>45</v>
      </c>
      <c r="D218" t="s">
        <v>91</v>
      </c>
      <c r="E218" s="6" t="s">
        <v>408</v>
      </c>
      <c r="F218" s="6" t="s">
        <v>229</v>
      </c>
      <c r="G218" s="1"/>
      <c r="H218" s="1"/>
      <c r="I218" t="s">
        <v>407</v>
      </c>
    </row>
    <row r="219" spans="1:9" ht="84" customHeight="1">
      <c r="A219" t="s">
        <v>230</v>
      </c>
      <c r="B219" t="s">
        <v>148</v>
      </c>
      <c r="C219" t="s">
        <v>47</v>
      </c>
      <c r="D219" t="s">
        <v>91</v>
      </c>
      <c r="E219" s="6" t="s">
        <v>392</v>
      </c>
      <c r="F219" s="6" t="s">
        <v>231</v>
      </c>
      <c r="G219" s="1"/>
      <c r="H219" s="1"/>
      <c r="I219" t="s">
        <v>393</v>
      </c>
    </row>
    <row r="220" spans="1:9" ht="84" customHeight="1">
      <c r="A220" t="s">
        <v>230</v>
      </c>
      <c r="B220" t="s">
        <v>148</v>
      </c>
      <c r="C220" t="s">
        <v>47</v>
      </c>
      <c r="D220" t="s">
        <v>91</v>
      </c>
      <c r="E220" s="6" t="s">
        <v>394</v>
      </c>
      <c r="F220" s="6" t="s">
        <v>231</v>
      </c>
      <c r="G220" s="1"/>
      <c r="H220" s="1"/>
      <c r="I220" t="s">
        <v>393</v>
      </c>
    </row>
    <row r="221" spans="1:9" ht="84" customHeight="1">
      <c r="A221" t="s">
        <v>232</v>
      </c>
      <c r="B221" t="s">
        <v>148</v>
      </c>
      <c r="C221" t="s">
        <v>50</v>
      </c>
      <c r="D221" t="s">
        <v>91</v>
      </c>
      <c r="E221" s="6" t="s">
        <v>409</v>
      </c>
      <c r="F221" s="6" t="s">
        <v>233</v>
      </c>
      <c r="G221" s="1"/>
      <c r="H221" s="1"/>
      <c r="I221" t="s">
        <v>410</v>
      </c>
    </row>
    <row r="222" spans="1:9" ht="84" customHeight="1">
      <c r="A222" t="s">
        <v>232</v>
      </c>
      <c r="B222" t="s">
        <v>148</v>
      </c>
      <c r="C222" t="s">
        <v>50</v>
      </c>
      <c r="D222" t="s">
        <v>91</v>
      </c>
      <c r="E222" s="6" t="s">
        <v>411</v>
      </c>
      <c r="F222" s="6" t="s">
        <v>233</v>
      </c>
      <c r="G222" s="1"/>
      <c r="H222" s="1"/>
      <c r="I222" t="s">
        <v>410</v>
      </c>
    </row>
    <row r="223" spans="1:9" ht="84" customHeight="1">
      <c r="A223" t="s">
        <v>234</v>
      </c>
      <c r="B223" t="s">
        <v>148</v>
      </c>
      <c r="C223" t="s">
        <v>53</v>
      </c>
      <c r="D223" t="s">
        <v>91</v>
      </c>
      <c r="E223" s="6" t="s">
        <v>412</v>
      </c>
      <c r="F223" s="6" t="s">
        <v>235</v>
      </c>
      <c r="G223" s="1"/>
      <c r="H223" s="1"/>
      <c r="I223" t="s">
        <v>413</v>
      </c>
    </row>
    <row r="224" spans="1:9" ht="84" customHeight="1">
      <c r="A224" t="s">
        <v>234</v>
      </c>
      <c r="B224" t="s">
        <v>148</v>
      </c>
      <c r="C224" t="s">
        <v>53</v>
      </c>
      <c r="D224" t="s">
        <v>91</v>
      </c>
      <c r="E224" s="6" t="s">
        <v>381</v>
      </c>
      <c r="F224" s="6" t="s">
        <v>235</v>
      </c>
      <c r="G224" s="1"/>
      <c r="H224" s="1"/>
      <c r="I224" t="s">
        <v>413</v>
      </c>
    </row>
    <row r="225" spans="1:9" ht="84" customHeight="1">
      <c r="A225" t="s">
        <v>236</v>
      </c>
      <c r="B225" t="s">
        <v>148</v>
      </c>
      <c r="C225" t="s">
        <v>56</v>
      </c>
      <c r="D225" t="s">
        <v>91</v>
      </c>
      <c r="E225" s="6" t="s">
        <v>414</v>
      </c>
      <c r="F225" s="6" t="s">
        <v>237</v>
      </c>
      <c r="G225" s="1"/>
      <c r="H225" s="1"/>
      <c r="I225" t="s">
        <v>415</v>
      </c>
    </row>
    <row r="226" spans="1:9" ht="84" customHeight="1">
      <c r="A226" t="s">
        <v>236</v>
      </c>
      <c r="B226" t="s">
        <v>148</v>
      </c>
      <c r="C226" t="s">
        <v>56</v>
      </c>
      <c r="D226" t="s">
        <v>91</v>
      </c>
      <c r="E226" s="6" t="s">
        <v>416</v>
      </c>
      <c r="F226" s="6" t="s">
        <v>237</v>
      </c>
      <c r="G226" s="1"/>
      <c r="H226" s="1"/>
      <c r="I226" t="s">
        <v>415</v>
      </c>
    </row>
    <row r="227" spans="1:9" ht="84" customHeight="1">
      <c r="A227" t="s">
        <v>238</v>
      </c>
      <c r="B227" t="s">
        <v>148</v>
      </c>
      <c r="C227" t="s">
        <v>58</v>
      </c>
      <c r="D227" t="s">
        <v>91</v>
      </c>
      <c r="E227" s="6" t="s">
        <v>417</v>
      </c>
      <c r="F227" s="6" t="s">
        <v>239</v>
      </c>
      <c r="G227" s="1"/>
      <c r="H227" s="1"/>
      <c r="I227" t="s">
        <v>418</v>
      </c>
    </row>
    <row r="228" spans="1:9" ht="84" customHeight="1">
      <c r="A228" t="s">
        <v>238</v>
      </c>
      <c r="B228" t="s">
        <v>148</v>
      </c>
      <c r="C228" t="s">
        <v>58</v>
      </c>
      <c r="D228" t="s">
        <v>91</v>
      </c>
      <c r="E228" s="6" t="s">
        <v>419</v>
      </c>
      <c r="F228" s="6" t="s">
        <v>239</v>
      </c>
      <c r="G228" s="1"/>
      <c r="H228" s="1"/>
      <c r="I228" t="s">
        <v>418</v>
      </c>
    </row>
    <row r="229" spans="1:9" ht="84" customHeight="1">
      <c r="A229" t="s">
        <v>240</v>
      </c>
      <c r="B229" t="s">
        <v>148</v>
      </c>
      <c r="C229" t="s">
        <v>61</v>
      </c>
      <c r="D229" t="s">
        <v>91</v>
      </c>
      <c r="E229" s="6" t="s">
        <v>420</v>
      </c>
      <c r="F229" s="6" t="s">
        <v>241</v>
      </c>
      <c r="G229" s="1"/>
      <c r="H229" s="1"/>
      <c r="I229" t="s">
        <v>421</v>
      </c>
    </row>
    <row r="230" spans="1:9" ht="84" customHeight="1">
      <c r="A230" t="s">
        <v>240</v>
      </c>
      <c r="B230" t="s">
        <v>148</v>
      </c>
      <c r="C230" t="s">
        <v>61</v>
      </c>
      <c r="D230" t="s">
        <v>91</v>
      </c>
      <c r="E230" s="6" t="s">
        <v>422</v>
      </c>
      <c r="F230" s="6" t="s">
        <v>241</v>
      </c>
      <c r="G230" s="1"/>
      <c r="H230" s="1"/>
      <c r="I230" t="s">
        <v>421</v>
      </c>
    </row>
    <row r="231" spans="1:9" ht="84" customHeight="1">
      <c r="A231" t="s">
        <v>242</v>
      </c>
      <c r="B231" t="s">
        <v>148</v>
      </c>
      <c r="C231" t="s">
        <v>64</v>
      </c>
      <c r="D231" t="s">
        <v>91</v>
      </c>
      <c r="E231" s="6" t="s">
        <v>409</v>
      </c>
      <c r="F231" s="6" t="s">
        <v>243</v>
      </c>
      <c r="G231" s="1"/>
      <c r="H231" s="1"/>
      <c r="I231" t="s">
        <v>410</v>
      </c>
    </row>
    <row r="232" spans="1:9" ht="84" customHeight="1">
      <c r="A232" t="s">
        <v>242</v>
      </c>
      <c r="B232" t="s">
        <v>148</v>
      </c>
      <c r="C232" t="s">
        <v>64</v>
      </c>
      <c r="D232" t="s">
        <v>91</v>
      </c>
      <c r="E232" s="6" t="s">
        <v>411</v>
      </c>
      <c r="F232" s="6" t="s">
        <v>243</v>
      </c>
      <c r="G232" s="1"/>
      <c r="H232" s="1"/>
      <c r="I232" t="s">
        <v>410</v>
      </c>
    </row>
    <row r="233" spans="1:9" ht="84" customHeight="1">
      <c r="A233" t="s">
        <v>244</v>
      </c>
      <c r="B233" t="s">
        <v>148</v>
      </c>
      <c r="C233" t="s">
        <v>67</v>
      </c>
      <c r="D233" t="s">
        <v>91</v>
      </c>
      <c r="E233" s="6" t="s">
        <v>423</v>
      </c>
      <c r="F233" s="6" t="s">
        <v>245</v>
      </c>
      <c r="G233" s="1"/>
      <c r="H233" s="1"/>
      <c r="I233" t="s">
        <v>424</v>
      </c>
    </row>
    <row r="234" spans="1:9" ht="84" customHeight="1">
      <c r="A234" t="s">
        <v>244</v>
      </c>
      <c r="B234" t="s">
        <v>148</v>
      </c>
      <c r="C234" t="s">
        <v>67</v>
      </c>
      <c r="D234" t="s">
        <v>91</v>
      </c>
      <c r="E234" s="6" t="s">
        <v>425</v>
      </c>
      <c r="F234" s="6" t="s">
        <v>245</v>
      </c>
      <c r="G234" s="1"/>
      <c r="H234" s="1"/>
      <c r="I234" t="s">
        <v>424</v>
      </c>
    </row>
    <row r="235" spans="1:9" ht="84" customHeight="1">
      <c r="A235" t="s">
        <v>246</v>
      </c>
      <c r="B235" t="s">
        <v>148</v>
      </c>
      <c r="C235" t="s">
        <v>69</v>
      </c>
      <c r="D235" t="s">
        <v>91</v>
      </c>
      <c r="E235" s="6" t="s">
        <v>426</v>
      </c>
      <c r="F235" s="6" t="s">
        <v>247</v>
      </c>
      <c r="G235" s="1"/>
      <c r="H235" s="1"/>
      <c r="I235" t="s">
        <v>427</v>
      </c>
    </row>
    <row r="236" spans="1:9" ht="84" customHeight="1">
      <c r="A236" t="s">
        <v>246</v>
      </c>
      <c r="B236" t="s">
        <v>148</v>
      </c>
      <c r="C236" t="s">
        <v>69</v>
      </c>
      <c r="D236" t="s">
        <v>91</v>
      </c>
      <c r="E236" s="6" t="s">
        <v>428</v>
      </c>
      <c r="F236" s="6" t="s">
        <v>247</v>
      </c>
      <c r="G236" s="1"/>
      <c r="H236" s="1"/>
      <c r="I236" t="s">
        <v>427</v>
      </c>
    </row>
    <row r="237" spans="1:9" ht="84" customHeight="1">
      <c r="A237" t="s">
        <v>248</v>
      </c>
      <c r="B237" t="s">
        <v>148</v>
      </c>
      <c r="C237" t="s">
        <v>71</v>
      </c>
      <c r="D237" t="s">
        <v>91</v>
      </c>
      <c r="E237" s="6" t="s">
        <v>429</v>
      </c>
      <c r="F237" s="6" t="s">
        <v>249</v>
      </c>
      <c r="G237" s="1"/>
      <c r="H237" s="1"/>
      <c r="I237" t="s">
        <v>430</v>
      </c>
    </row>
    <row r="238" spans="1:9" ht="84" customHeight="1">
      <c r="A238" t="s">
        <v>248</v>
      </c>
      <c r="B238" t="s">
        <v>148</v>
      </c>
      <c r="C238" t="s">
        <v>71</v>
      </c>
      <c r="D238" t="s">
        <v>91</v>
      </c>
      <c r="E238" s="6" t="s">
        <v>431</v>
      </c>
      <c r="F238" s="6" t="s">
        <v>249</v>
      </c>
      <c r="G238" s="1"/>
      <c r="H238" s="1"/>
      <c r="I238" t="s">
        <v>430</v>
      </c>
    </row>
    <row r="239" spans="1:9" ht="84" customHeight="1">
      <c r="A239" t="s">
        <v>248</v>
      </c>
      <c r="B239" t="s">
        <v>148</v>
      </c>
      <c r="C239" t="s">
        <v>71</v>
      </c>
      <c r="D239" t="s">
        <v>91</v>
      </c>
      <c r="E239" s="6" t="s">
        <v>432</v>
      </c>
      <c r="F239" s="6" t="s">
        <v>249</v>
      </c>
      <c r="G239" s="1"/>
      <c r="H239" s="1"/>
      <c r="I239" t="s">
        <v>430</v>
      </c>
    </row>
    <row r="240" spans="1:9" ht="84" customHeight="1">
      <c r="A240" t="s">
        <v>250</v>
      </c>
      <c r="B240" t="s">
        <v>148</v>
      </c>
      <c r="C240" t="s">
        <v>73</v>
      </c>
      <c r="D240" t="s">
        <v>91</v>
      </c>
      <c r="E240" s="6" t="s">
        <v>433</v>
      </c>
      <c r="F240" s="6" t="s">
        <v>251</v>
      </c>
      <c r="G240" s="1"/>
      <c r="H240" s="1"/>
      <c r="I240" t="s">
        <v>434</v>
      </c>
    </row>
    <row r="241" spans="1:9" ht="84" customHeight="1">
      <c r="A241" t="s">
        <v>250</v>
      </c>
      <c r="B241" t="s">
        <v>148</v>
      </c>
      <c r="C241" t="s">
        <v>73</v>
      </c>
      <c r="D241" t="s">
        <v>91</v>
      </c>
      <c r="E241" s="6" t="s">
        <v>435</v>
      </c>
      <c r="F241" s="6" t="s">
        <v>251</v>
      </c>
      <c r="G241" s="1"/>
      <c r="H241" s="1"/>
      <c r="I241" t="s">
        <v>434</v>
      </c>
    </row>
    <row r="242" spans="1:9" ht="84" customHeight="1">
      <c r="A242" t="s">
        <v>250</v>
      </c>
      <c r="B242" t="s">
        <v>148</v>
      </c>
      <c r="C242" t="s">
        <v>73</v>
      </c>
      <c r="D242" t="s">
        <v>91</v>
      </c>
      <c r="E242" s="6" t="s">
        <v>436</v>
      </c>
      <c r="F242" s="6" t="s">
        <v>251</v>
      </c>
      <c r="G242" s="1"/>
      <c r="H242" s="1"/>
      <c r="I242" t="s">
        <v>434</v>
      </c>
    </row>
    <row r="243" spans="1:9" ht="84" customHeight="1">
      <c r="A243" t="s">
        <v>252</v>
      </c>
      <c r="B243" t="s">
        <v>148</v>
      </c>
      <c r="C243" t="s">
        <v>75</v>
      </c>
      <c r="D243" t="s">
        <v>91</v>
      </c>
      <c r="E243" s="6" t="s">
        <v>437</v>
      </c>
      <c r="F243" s="6" t="s">
        <v>253</v>
      </c>
      <c r="G243" s="1"/>
      <c r="H243" s="1"/>
      <c r="I243" t="s">
        <v>438</v>
      </c>
    </row>
    <row r="244" spans="1:9" ht="84" customHeight="1">
      <c r="A244" t="s">
        <v>252</v>
      </c>
      <c r="B244" t="s">
        <v>148</v>
      </c>
      <c r="C244" t="s">
        <v>75</v>
      </c>
      <c r="D244" t="s">
        <v>91</v>
      </c>
      <c r="E244" s="6" t="s">
        <v>439</v>
      </c>
      <c r="F244" s="6" t="s">
        <v>253</v>
      </c>
      <c r="G244" s="1"/>
      <c r="H244" s="1"/>
      <c r="I244" t="s">
        <v>438</v>
      </c>
    </row>
    <row r="245" spans="1:9" ht="84" customHeight="1">
      <c r="A245" t="s">
        <v>254</v>
      </c>
      <c r="B245" t="s">
        <v>148</v>
      </c>
      <c r="C245" t="s">
        <v>77</v>
      </c>
      <c r="D245" t="s">
        <v>91</v>
      </c>
      <c r="E245" s="6" t="s">
        <v>423</v>
      </c>
      <c r="F245" s="6"/>
      <c r="G245" s="1"/>
      <c r="H245" s="1"/>
      <c r="I245" t="s">
        <v>427</v>
      </c>
    </row>
    <row r="246" spans="1:9" ht="84" customHeight="1">
      <c r="A246" t="s">
        <v>254</v>
      </c>
      <c r="B246" t="s">
        <v>148</v>
      </c>
      <c r="C246" t="s">
        <v>77</v>
      </c>
      <c r="D246" t="s">
        <v>91</v>
      </c>
      <c r="E246" s="6" t="s">
        <v>426</v>
      </c>
      <c r="F246" s="6"/>
      <c r="G246" s="1"/>
      <c r="H246" s="1"/>
      <c r="I246" t="s">
        <v>427</v>
      </c>
    </row>
    <row r="247" spans="1:9" ht="84" customHeight="1">
      <c r="A247" t="s">
        <v>255</v>
      </c>
      <c r="B247" t="s">
        <v>148</v>
      </c>
      <c r="C247" t="s">
        <v>79</v>
      </c>
      <c r="D247" t="s">
        <v>91</v>
      </c>
      <c r="E247" s="6" t="s">
        <v>440</v>
      </c>
      <c r="F247" s="6" t="s">
        <v>256</v>
      </c>
      <c r="G247" s="1"/>
      <c r="H247" s="1"/>
      <c r="I247" t="s">
        <v>441</v>
      </c>
    </row>
    <row r="248" spans="1:9" ht="84" customHeight="1">
      <c r="A248" t="s">
        <v>257</v>
      </c>
      <c r="B248" t="s">
        <v>148</v>
      </c>
      <c r="C248" t="s">
        <v>81</v>
      </c>
      <c r="D248" t="s">
        <v>91</v>
      </c>
      <c r="E248" s="6" t="s">
        <v>442</v>
      </c>
      <c r="F248" s="6" t="s">
        <v>258</v>
      </c>
      <c r="G248" s="1"/>
      <c r="H248" s="1"/>
      <c r="I248" t="s">
        <v>443</v>
      </c>
    </row>
    <row r="249" spans="1:9" ht="84" customHeight="1">
      <c r="A249" t="s">
        <v>257</v>
      </c>
      <c r="B249" t="s">
        <v>148</v>
      </c>
      <c r="C249" t="s">
        <v>81</v>
      </c>
      <c r="D249" t="s">
        <v>91</v>
      </c>
      <c r="E249" s="6" t="s">
        <v>444</v>
      </c>
      <c r="F249" s="6" t="s">
        <v>258</v>
      </c>
      <c r="G249" s="1"/>
      <c r="H249" s="1"/>
      <c r="I249" t="s">
        <v>443</v>
      </c>
    </row>
    <row r="250" spans="1:9" ht="84" customHeight="1">
      <c r="A250" t="s">
        <v>259</v>
      </c>
      <c r="B250" t="s">
        <v>148</v>
      </c>
      <c r="C250" t="s">
        <v>83</v>
      </c>
      <c r="D250" t="s">
        <v>91</v>
      </c>
      <c r="E250" s="6" t="s">
        <v>445</v>
      </c>
      <c r="F250" s="6" t="s">
        <v>260</v>
      </c>
      <c r="G250" s="1"/>
      <c r="H250" s="1"/>
      <c r="I250" t="s">
        <v>446</v>
      </c>
    </row>
    <row r="251" spans="1:9" ht="84" customHeight="1">
      <c r="A251" t="s">
        <v>259</v>
      </c>
      <c r="B251" t="s">
        <v>148</v>
      </c>
      <c r="C251" t="s">
        <v>83</v>
      </c>
      <c r="D251" t="s">
        <v>91</v>
      </c>
      <c r="E251" s="6" t="s">
        <v>447</v>
      </c>
      <c r="F251" s="6" t="s">
        <v>260</v>
      </c>
      <c r="G251" s="1"/>
      <c r="H251" s="1"/>
      <c r="I251" t="s">
        <v>446</v>
      </c>
    </row>
    <row r="252" spans="1:9" ht="84" customHeight="1">
      <c r="A252" t="s">
        <v>261</v>
      </c>
      <c r="B252" t="s">
        <v>148</v>
      </c>
      <c r="C252" t="s">
        <v>85</v>
      </c>
      <c r="D252" t="s">
        <v>91</v>
      </c>
      <c r="E252" s="6" t="s">
        <v>448</v>
      </c>
      <c r="F252" s="6" t="s">
        <v>262</v>
      </c>
      <c r="G252" s="1"/>
      <c r="H252" s="1"/>
      <c r="I252" t="s">
        <v>449</v>
      </c>
    </row>
    <row r="253" spans="1:9" ht="84" customHeight="1">
      <c r="A253" t="s">
        <v>261</v>
      </c>
      <c r="B253" t="s">
        <v>148</v>
      </c>
      <c r="C253" t="s">
        <v>85</v>
      </c>
      <c r="D253" t="s">
        <v>91</v>
      </c>
      <c r="E253" s="6" t="s">
        <v>450</v>
      </c>
      <c r="F253" s="6" t="s">
        <v>262</v>
      </c>
      <c r="G253" s="1"/>
      <c r="H253" s="1"/>
      <c r="I253" t="s">
        <v>449</v>
      </c>
    </row>
    <row r="254" spans="1:9" ht="84" customHeight="1">
      <c r="A254" t="s">
        <v>263</v>
      </c>
      <c r="B254" t="s">
        <v>148</v>
      </c>
      <c r="C254" t="s">
        <v>87</v>
      </c>
      <c r="D254" t="s">
        <v>91</v>
      </c>
      <c r="E254" s="6" t="s">
        <v>451</v>
      </c>
      <c r="F254" s="6" t="s">
        <v>264</v>
      </c>
      <c r="G254" s="1"/>
      <c r="H254" s="1"/>
      <c r="I254" t="s">
        <v>452</v>
      </c>
    </row>
    <row r="255" spans="1:9" ht="84" customHeight="1">
      <c r="A255" t="s">
        <v>263</v>
      </c>
      <c r="B255" t="s">
        <v>148</v>
      </c>
      <c r="C255" t="s">
        <v>87</v>
      </c>
      <c r="D255" t="s">
        <v>91</v>
      </c>
      <c r="E255" s="6" t="s">
        <v>453</v>
      </c>
      <c r="F255" s="6" t="s">
        <v>264</v>
      </c>
      <c r="G255" s="1"/>
      <c r="H255" s="1"/>
      <c r="I255" t="s">
        <v>452</v>
      </c>
    </row>
    <row r="256" spans="1:9" ht="84" customHeight="1">
      <c r="A256" t="s">
        <v>265</v>
      </c>
      <c r="B256" t="s">
        <v>148</v>
      </c>
      <c r="C256" t="s">
        <v>89</v>
      </c>
      <c r="D256" t="s">
        <v>91</v>
      </c>
      <c r="E256" s="6" t="s">
        <v>440</v>
      </c>
      <c r="F256" s="6" t="s">
        <v>266</v>
      </c>
      <c r="G256" s="1"/>
      <c r="H256" s="1"/>
      <c r="I256" t="s">
        <v>441</v>
      </c>
    </row>
    <row r="257" spans="1:9" ht="84" customHeight="1">
      <c r="A257" t="s">
        <v>267</v>
      </c>
      <c r="B257" t="s">
        <v>268</v>
      </c>
      <c r="C257" t="s">
        <v>15</v>
      </c>
      <c r="D257" t="s">
        <v>16</v>
      </c>
      <c r="E257" s="6" t="s">
        <v>376</v>
      </c>
      <c r="F257" s="6" t="s">
        <v>269</v>
      </c>
      <c r="G257" s="1"/>
      <c r="H257" s="1"/>
      <c r="I257" t="s">
        <v>377</v>
      </c>
    </row>
    <row r="258" spans="1:9" ht="84" customHeight="1">
      <c r="A258" t="s">
        <v>267</v>
      </c>
      <c r="B258" t="s">
        <v>268</v>
      </c>
      <c r="C258" t="s">
        <v>15</v>
      </c>
      <c r="D258" t="s">
        <v>16</v>
      </c>
      <c r="E258" s="6" t="s">
        <v>378</v>
      </c>
      <c r="F258" s="6" t="s">
        <v>269</v>
      </c>
      <c r="G258" s="1"/>
      <c r="H258" s="1"/>
      <c r="I258" t="s">
        <v>377</v>
      </c>
    </row>
    <row r="259" spans="1:9" ht="84" customHeight="1">
      <c r="A259" t="s">
        <v>270</v>
      </c>
      <c r="B259" t="s">
        <v>268</v>
      </c>
      <c r="C259" t="s">
        <v>19</v>
      </c>
      <c r="D259" t="s">
        <v>16</v>
      </c>
      <c r="E259" s="6" t="s">
        <v>379</v>
      </c>
      <c r="F259" s="6" t="s">
        <v>271</v>
      </c>
      <c r="G259" s="1"/>
      <c r="H259" s="1"/>
      <c r="I259" t="s">
        <v>380</v>
      </c>
    </row>
    <row r="260" spans="1:9" ht="84" customHeight="1">
      <c r="A260" t="s">
        <v>270</v>
      </c>
      <c r="B260" t="s">
        <v>268</v>
      </c>
      <c r="C260" t="s">
        <v>19</v>
      </c>
      <c r="D260" t="s">
        <v>16</v>
      </c>
      <c r="E260" s="6" t="s">
        <v>381</v>
      </c>
      <c r="F260" s="6" t="s">
        <v>271</v>
      </c>
      <c r="G260" s="1"/>
      <c r="H260" s="1"/>
      <c r="I260" t="s">
        <v>380</v>
      </c>
    </row>
    <row r="261" spans="1:9" ht="84" customHeight="1">
      <c r="A261" t="s">
        <v>272</v>
      </c>
      <c r="B261" t="s">
        <v>268</v>
      </c>
      <c r="C261" t="s">
        <v>22</v>
      </c>
      <c r="D261" t="s">
        <v>16</v>
      </c>
      <c r="E261" s="6" t="s">
        <v>382</v>
      </c>
      <c r="F261" s="6" t="s">
        <v>273</v>
      </c>
      <c r="G261" s="1"/>
      <c r="H261" s="1"/>
      <c r="I261" t="s">
        <v>383</v>
      </c>
    </row>
    <row r="262" spans="1:9" ht="84" customHeight="1">
      <c r="A262" t="s">
        <v>272</v>
      </c>
      <c r="B262" t="s">
        <v>268</v>
      </c>
      <c r="C262" t="s">
        <v>22</v>
      </c>
      <c r="D262" t="s">
        <v>16</v>
      </c>
      <c r="E262" s="6" t="s">
        <v>384</v>
      </c>
      <c r="F262" s="6" t="s">
        <v>273</v>
      </c>
      <c r="G262" s="1"/>
      <c r="H262" s="1"/>
      <c r="I262" t="s">
        <v>383</v>
      </c>
    </row>
    <row r="263" spans="1:9" ht="84" customHeight="1">
      <c r="A263" t="s">
        <v>274</v>
      </c>
      <c r="B263" t="s">
        <v>268</v>
      </c>
      <c r="C263" t="s">
        <v>25</v>
      </c>
      <c r="D263" t="s">
        <v>16</v>
      </c>
      <c r="E263" s="6" t="s">
        <v>385</v>
      </c>
      <c r="F263" s="6" t="s">
        <v>275</v>
      </c>
      <c r="G263" s="1"/>
      <c r="H263" s="1"/>
      <c r="I263" t="s">
        <v>386</v>
      </c>
    </row>
    <row r="264" spans="1:9" ht="84" customHeight="1">
      <c r="A264" t="s">
        <v>274</v>
      </c>
      <c r="B264" t="s">
        <v>268</v>
      </c>
      <c r="C264" t="s">
        <v>25</v>
      </c>
      <c r="D264" t="s">
        <v>16</v>
      </c>
      <c r="E264" s="6" t="s">
        <v>387</v>
      </c>
      <c r="F264" s="6" t="s">
        <v>275</v>
      </c>
      <c r="G264" s="1"/>
      <c r="H264" s="1"/>
      <c r="I264" t="s">
        <v>386</v>
      </c>
    </row>
    <row r="265" spans="1:9" ht="84" customHeight="1">
      <c r="A265" t="s">
        <v>274</v>
      </c>
      <c r="B265" t="s">
        <v>268</v>
      </c>
      <c r="C265" t="s">
        <v>25</v>
      </c>
      <c r="D265" t="s">
        <v>16</v>
      </c>
      <c r="E265" s="6" t="s">
        <v>388</v>
      </c>
      <c r="F265" s="6" t="s">
        <v>275</v>
      </c>
      <c r="G265" s="1"/>
      <c r="H265" s="1"/>
      <c r="I265" t="s">
        <v>386</v>
      </c>
    </row>
    <row r="266" spans="1:9" ht="84" customHeight="1">
      <c r="A266" t="s">
        <v>276</v>
      </c>
      <c r="B266" t="s">
        <v>268</v>
      </c>
      <c r="C266" t="s">
        <v>28</v>
      </c>
      <c r="D266" t="s">
        <v>16</v>
      </c>
      <c r="E266" s="6" t="s">
        <v>389</v>
      </c>
      <c r="F266" s="6" t="s">
        <v>277</v>
      </c>
      <c r="G266" s="1"/>
      <c r="H266" s="1"/>
      <c r="I266" t="s">
        <v>390</v>
      </c>
    </row>
    <row r="267" spans="1:9" ht="84" customHeight="1">
      <c r="A267" t="s">
        <v>276</v>
      </c>
      <c r="B267" t="s">
        <v>268</v>
      </c>
      <c r="C267" t="s">
        <v>28</v>
      </c>
      <c r="D267" t="s">
        <v>16</v>
      </c>
      <c r="E267" s="6" t="s">
        <v>391</v>
      </c>
      <c r="F267" s="6" t="s">
        <v>277</v>
      </c>
      <c r="G267" s="1"/>
      <c r="H267" s="1"/>
      <c r="I267" t="s">
        <v>390</v>
      </c>
    </row>
    <row r="268" spans="1:9" ht="84" customHeight="1">
      <c r="A268" t="s">
        <v>278</v>
      </c>
      <c r="B268" t="s">
        <v>268</v>
      </c>
      <c r="C268" t="s">
        <v>31</v>
      </c>
      <c r="D268" t="s">
        <v>16</v>
      </c>
      <c r="E268" s="6" t="s">
        <v>376</v>
      </c>
      <c r="F268" s="6" t="s">
        <v>279</v>
      </c>
      <c r="G268" s="1"/>
      <c r="H268" s="1"/>
      <c r="I268" t="s">
        <v>377</v>
      </c>
    </row>
    <row r="269" spans="1:9" ht="84" customHeight="1">
      <c r="A269" t="s">
        <v>278</v>
      </c>
      <c r="B269" t="s">
        <v>268</v>
      </c>
      <c r="C269" t="s">
        <v>31</v>
      </c>
      <c r="D269" t="s">
        <v>16</v>
      </c>
      <c r="E269" s="6" t="s">
        <v>378</v>
      </c>
      <c r="F269" s="6" t="s">
        <v>279</v>
      </c>
      <c r="G269" s="1"/>
      <c r="H269" s="1"/>
      <c r="I269" t="s">
        <v>377</v>
      </c>
    </row>
    <row r="270" spans="1:9" ht="84" customHeight="1">
      <c r="A270" t="s">
        <v>280</v>
      </c>
      <c r="B270" t="s">
        <v>268</v>
      </c>
      <c r="C270" t="s">
        <v>34</v>
      </c>
      <c r="D270" t="s">
        <v>16</v>
      </c>
      <c r="E270" s="6" t="s">
        <v>392</v>
      </c>
      <c r="F270" s="6" t="s">
        <v>35</v>
      </c>
      <c r="G270" s="2" t="str">
        <f>IF(COUNT(G18)=0,"",G18)</f>
        <v/>
      </c>
      <c r="H270" s="2" t="s">
        <v>454</v>
      </c>
      <c r="I270" t="s">
        <v>393</v>
      </c>
    </row>
    <row r="271" spans="1:9" ht="84" customHeight="1">
      <c r="A271" t="s">
        <v>280</v>
      </c>
      <c r="B271" t="s">
        <v>268</v>
      </c>
      <c r="C271" t="s">
        <v>34</v>
      </c>
      <c r="D271" t="s">
        <v>16</v>
      </c>
      <c r="E271" s="6" t="s">
        <v>394</v>
      </c>
      <c r="F271" s="6" t="s">
        <v>35</v>
      </c>
      <c r="G271" s="2" t="str">
        <f>IF(COUNT(G19)=0,"",G19)</f>
        <v/>
      </c>
      <c r="H271" s="2" t="s">
        <v>455</v>
      </c>
      <c r="I271" t="s">
        <v>393</v>
      </c>
    </row>
    <row r="272" spans="1:9" ht="84" customHeight="1">
      <c r="A272" t="s">
        <v>281</v>
      </c>
      <c r="B272" t="s">
        <v>268</v>
      </c>
      <c r="C272" t="s">
        <v>37</v>
      </c>
      <c r="D272" t="s">
        <v>16</v>
      </c>
      <c r="E272" s="6" t="s">
        <v>395</v>
      </c>
      <c r="F272" s="6" t="s">
        <v>282</v>
      </c>
      <c r="G272" s="1"/>
      <c r="H272" s="1"/>
      <c r="I272" t="s">
        <v>396</v>
      </c>
    </row>
    <row r="273" spans="1:9" ht="84" customHeight="1">
      <c r="A273" t="s">
        <v>281</v>
      </c>
      <c r="B273" t="s">
        <v>268</v>
      </c>
      <c r="C273" t="s">
        <v>37</v>
      </c>
      <c r="D273" t="s">
        <v>16</v>
      </c>
      <c r="E273" s="6" t="s">
        <v>397</v>
      </c>
      <c r="F273" s="6" t="s">
        <v>282</v>
      </c>
      <c r="G273" s="1"/>
      <c r="H273" s="1"/>
      <c r="I273" t="s">
        <v>396</v>
      </c>
    </row>
    <row r="274" spans="1:9" ht="84" customHeight="1">
      <c r="A274" t="s">
        <v>281</v>
      </c>
      <c r="B274" t="s">
        <v>268</v>
      </c>
      <c r="C274" t="s">
        <v>37</v>
      </c>
      <c r="D274" t="s">
        <v>16</v>
      </c>
      <c r="E274" s="6" t="s">
        <v>398</v>
      </c>
      <c r="F274" s="6" t="s">
        <v>282</v>
      </c>
      <c r="G274" s="1"/>
      <c r="H274" s="1"/>
      <c r="I274" t="s">
        <v>396</v>
      </c>
    </row>
    <row r="275" spans="1:9" ht="84" customHeight="1">
      <c r="A275" t="s">
        <v>283</v>
      </c>
      <c r="B275" t="s">
        <v>268</v>
      </c>
      <c r="C275" t="s">
        <v>40</v>
      </c>
      <c r="D275" t="s">
        <v>16</v>
      </c>
      <c r="E275" s="6" t="s">
        <v>399</v>
      </c>
      <c r="F275" s="6" t="s">
        <v>35</v>
      </c>
      <c r="G275" s="2" t="str">
        <f>IF(COUNT(G23)=0,"",G23)</f>
        <v/>
      </c>
      <c r="H275" s="2" t="s">
        <v>456</v>
      </c>
      <c r="I275" t="s">
        <v>400</v>
      </c>
    </row>
    <row r="276" spans="1:9" ht="84" customHeight="1">
      <c r="A276" t="s">
        <v>283</v>
      </c>
      <c r="B276" t="s">
        <v>268</v>
      </c>
      <c r="C276" t="s">
        <v>40</v>
      </c>
      <c r="D276" t="s">
        <v>16</v>
      </c>
      <c r="E276" s="6" t="s">
        <v>401</v>
      </c>
      <c r="F276" s="6" t="s">
        <v>35</v>
      </c>
      <c r="G276" s="2" t="str">
        <f>IF(COUNT(G24)=0,"",G24)</f>
        <v/>
      </c>
      <c r="H276" s="2" t="s">
        <v>457</v>
      </c>
      <c r="I276" t="s">
        <v>400</v>
      </c>
    </row>
    <row r="277" spans="1:9" ht="84" customHeight="1">
      <c r="A277" t="s">
        <v>284</v>
      </c>
      <c r="B277" t="s">
        <v>268</v>
      </c>
      <c r="C277" t="s">
        <v>42</v>
      </c>
      <c r="D277" t="s">
        <v>16</v>
      </c>
      <c r="E277" s="6" t="s">
        <v>402</v>
      </c>
      <c r="F277" s="6" t="s">
        <v>285</v>
      </c>
      <c r="G277" s="1"/>
      <c r="H277" s="1"/>
      <c r="I277" t="s">
        <v>403</v>
      </c>
    </row>
    <row r="278" spans="1:9" ht="84" customHeight="1">
      <c r="A278" t="s">
        <v>284</v>
      </c>
      <c r="B278" t="s">
        <v>268</v>
      </c>
      <c r="C278" t="s">
        <v>42</v>
      </c>
      <c r="D278" t="s">
        <v>16</v>
      </c>
      <c r="E278" s="6" t="s">
        <v>404</v>
      </c>
      <c r="F278" s="6" t="s">
        <v>285</v>
      </c>
      <c r="G278" s="1"/>
      <c r="H278" s="1"/>
      <c r="I278" t="s">
        <v>403</v>
      </c>
    </row>
    <row r="279" spans="1:9" ht="84" customHeight="1">
      <c r="A279" t="s">
        <v>284</v>
      </c>
      <c r="B279" t="s">
        <v>268</v>
      </c>
      <c r="C279" t="s">
        <v>42</v>
      </c>
      <c r="D279" t="s">
        <v>16</v>
      </c>
      <c r="E279" s="6" t="s">
        <v>405</v>
      </c>
      <c r="F279" s="6" t="s">
        <v>285</v>
      </c>
      <c r="G279" s="1"/>
      <c r="H279" s="1"/>
      <c r="I279" t="s">
        <v>403</v>
      </c>
    </row>
    <row r="280" spans="1:9" ht="84" customHeight="1">
      <c r="A280" t="s">
        <v>286</v>
      </c>
      <c r="B280" t="s">
        <v>268</v>
      </c>
      <c r="C280" t="s">
        <v>45</v>
      </c>
      <c r="D280" t="s">
        <v>16</v>
      </c>
      <c r="E280" s="6" t="s">
        <v>406</v>
      </c>
      <c r="F280" s="6" t="s">
        <v>35</v>
      </c>
      <c r="G280" s="2" t="str">
        <f>IF(COUNT(G28)=0,"",G28)</f>
        <v/>
      </c>
      <c r="H280" s="2" t="s">
        <v>458</v>
      </c>
      <c r="I280" t="s">
        <v>407</v>
      </c>
    </row>
    <row r="281" spans="1:9" ht="84" customHeight="1">
      <c r="A281" t="s">
        <v>286</v>
      </c>
      <c r="B281" t="s">
        <v>268</v>
      </c>
      <c r="C281" t="s">
        <v>45</v>
      </c>
      <c r="D281" t="s">
        <v>16</v>
      </c>
      <c r="E281" s="6" t="s">
        <v>408</v>
      </c>
      <c r="F281" s="6" t="s">
        <v>35</v>
      </c>
      <c r="G281" s="2" t="str">
        <f>IF(COUNT(G29)=0,"",G29)</f>
        <v/>
      </c>
      <c r="H281" s="2" t="s">
        <v>459</v>
      </c>
      <c r="I281" t="s">
        <v>407</v>
      </c>
    </row>
    <row r="282" spans="1:9" ht="84" customHeight="1">
      <c r="A282" t="s">
        <v>287</v>
      </c>
      <c r="B282" t="s">
        <v>268</v>
      </c>
      <c r="C282" t="s">
        <v>47</v>
      </c>
      <c r="D282" t="s">
        <v>16</v>
      </c>
      <c r="E282" s="6" t="s">
        <v>392</v>
      </c>
      <c r="F282" s="6" t="s">
        <v>288</v>
      </c>
      <c r="G282" s="1"/>
      <c r="H282" s="1"/>
      <c r="I282" t="s">
        <v>393</v>
      </c>
    </row>
    <row r="283" spans="1:9" ht="84" customHeight="1">
      <c r="A283" t="s">
        <v>287</v>
      </c>
      <c r="B283" t="s">
        <v>268</v>
      </c>
      <c r="C283" t="s">
        <v>47</v>
      </c>
      <c r="D283" t="s">
        <v>16</v>
      </c>
      <c r="E283" s="6" t="s">
        <v>394</v>
      </c>
      <c r="F283" s="6" t="s">
        <v>288</v>
      </c>
      <c r="G283" s="1"/>
      <c r="H283" s="1"/>
      <c r="I283" t="s">
        <v>393</v>
      </c>
    </row>
    <row r="284" spans="1:9" ht="84" customHeight="1">
      <c r="A284" t="s">
        <v>289</v>
      </c>
      <c r="B284" t="s">
        <v>268</v>
      </c>
      <c r="C284" t="s">
        <v>50</v>
      </c>
      <c r="D284" t="s">
        <v>16</v>
      </c>
      <c r="E284" s="6" t="s">
        <v>409</v>
      </c>
      <c r="F284" s="6" t="s">
        <v>290</v>
      </c>
      <c r="G284" s="1"/>
      <c r="H284" s="1"/>
      <c r="I284" t="s">
        <v>410</v>
      </c>
    </row>
    <row r="285" spans="1:9" ht="84" customHeight="1">
      <c r="A285" t="s">
        <v>289</v>
      </c>
      <c r="B285" t="s">
        <v>268</v>
      </c>
      <c r="C285" t="s">
        <v>50</v>
      </c>
      <c r="D285" t="s">
        <v>16</v>
      </c>
      <c r="E285" s="6" t="s">
        <v>411</v>
      </c>
      <c r="F285" s="6" t="s">
        <v>290</v>
      </c>
      <c r="G285" s="1"/>
      <c r="H285" s="1"/>
      <c r="I285" t="s">
        <v>410</v>
      </c>
    </row>
    <row r="286" spans="1:9" ht="84" customHeight="1">
      <c r="A286" t="s">
        <v>291</v>
      </c>
      <c r="B286" t="s">
        <v>268</v>
      </c>
      <c r="C286" t="s">
        <v>53</v>
      </c>
      <c r="D286" t="s">
        <v>16</v>
      </c>
      <c r="E286" s="6" t="s">
        <v>412</v>
      </c>
      <c r="F286" s="6" t="s">
        <v>292</v>
      </c>
      <c r="G286" s="1"/>
      <c r="H286" s="1"/>
      <c r="I286" t="s">
        <v>413</v>
      </c>
    </row>
    <row r="287" spans="1:9" ht="84" customHeight="1">
      <c r="A287" t="s">
        <v>291</v>
      </c>
      <c r="B287" t="s">
        <v>268</v>
      </c>
      <c r="C287" t="s">
        <v>53</v>
      </c>
      <c r="D287" t="s">
        <v>16</v>
      </c>
      <c r="E287" s="6" t="s">
        <v>381</v>
      </c>
      <c r="F287" s="6" t="s">
        <v>292</v>
      </c>
      <c r="G287" s="1"/>
      <c r="H287" s="1"/>
      <c r="I287" t="s">
        <v>413</v>
      </c>
    </row>
    <row r="288" spans="1:9" ht="84" customHeight="1">
      <c r="A288" t="s">
        <v>293</v>
      </c>
      <c r="B288" t="s">
        <v>268</v>
      </c>
      <c r="C288" t="s">
        <v>56</v>
      </c>
      <c r="D288" t="s">
        <v>16</v>
      </c>
      <c r="E288" s="6" t="s">
        <v>414</v>
      </c>
      <c r="F288" s="6" t="s">
        <v>35</v>
      </c>
      <c r="G288" s="2" t="str">
        <f>IF(COUNT(G36)=0,"",G36)</f>
        <v/>
      </c>
      <c r="H288" s="2" t="s">
        <v>460</v>
      </c>
      <c r="I288" t="s">
        <v>415</v>
      </c>
    </row>
    <row r="289" spans="1:9" ht="84" customHeight="1">
      <c r="A289" t="s">
        <v>293</v>
      </c>
      <c r="B289" t="s">
        <v>268</v>
      </c>
      <c r="C289" t="s">
        <v>56</v>
      </c>
      <c r="D289" t="s">
        <v>16</v>
      </c>
      <c r="E289" s="6" t="s">
        <v>416</v>
      </c>
      <c r="F289" s="6" t="s">
        <v>35</v>
      </c>
      <c r="G289" s="2" t="str">
        <f>IF(COUNT(G37)=0,"",G37)</f>
        <v/>
      </c>
      <c r="H289" s="2" t="s">
        <v>461</v>
      </c>
      <c r="I289" t="s">
        <v>415</v>
      </c>
    </row>
    <row r="290" spans="1:9" ht="84" customHeight="1">
      <c r="A290" t="s">
        <v>294</v>
      </c>
      <c r="B290" t="s">
        <v>268</v>
      </c>
      <c r="C290" t="s">
        <v>58</v>
      </c>
      <c r="D290" t="s">
        <v>16</v>
      </c>
      <c r="E290" s="6" t="s">
        <v>417</v>
      </c>
      <c r="F290" s="6" t="s">
        <v>295</v>
      </c>
      <c r="G290" s="1"/>
      <c r="H290" s="1"/>
      <c r="I290" t="s">
        <v>418</v>
      </c>
    </row>
    <row r="291" spans="1:9" ht="84" customHeight="1">
      <c r="A291" t="s">
        <v>294</v>
      </c>
      <c r="B291" t="s">
        <v>268</v>
      </c>
      <c r="C291" t="s">
        <v>58</v>
      </c>
      <c r="D291" t="s">
        <v>16</v>
      </c>
      <c r="E291" s="6" t="s">
        <v>419</v>
      </c>
      <c r="F291" s="6" t="s">
        <v>295</v>
      </c>
      <c r="G291" s="1"/>
      <c r="H291" s="1"/>
      <c r="I291" t="s">
        <v>418</v>
      </c>
    </row>
    <row r="292" spans="1:9" ht="84" customHeight="1">
      <c r="A292" t="s">
        <v>296</v>
      </c>
      <c r="B292" t="s">
        <v>268</v>
      </c>
      <c r="C292" t="s">
        <v>61</v>
      </c>
      <c r="D292" t="s">
        <v>16</v>
      </c>
      <c r="E292" s="6" t="s">
        <v>420</v>
      </c>
      <c r="F292" s="6" t="s">
        <v>62</v>
      </c>
      <c r="G292" s="2" t="str">
        <f>IF(COUNT(G40)=0,"",G40)</f>
        <v/>
      </c>
      <c r="H292" s="2" t="s">
        <v>462</v>
      </c>
      <c r="I292" t="s">
        <v>421</v>
      </c>
    </row>
    <row r="293" spans="1:9" ht="84" customHeight="1">
      <c r="A293" t="s">
        <v>296</v>
      </c>
      <c r="B293" t="s">
        <v>268</v>
      </c>
      <c r="C293" t="s">
        <v>61</v>
      </c>
      <c r="D293" t="s">
        <v>16</v>
      </c>
      <c r="E293" s="6" t="s">
        <v>422</v>
      </c>
      <c r="F293" s="6" t="s">
        <v>62</v>
      </c>
      <c r="G293" s="2" t="str">
        <f>IF(COUNT(G41)=0,"",G41)</f>
        <v/>
      </c>
      <c r="H293" s="2" t="s">
        <v>463</v>
      </c>
      <c r="I293" t="s">
        <v>421</v>
      </c>
    </row>
    <row r="294" spans="1:9" ht="84" customHeight="1">
      <c r="A294" t="s">
        <v>297</v>
      </c>
      <c r="B294" t="s">
        <v>268</v>
      </c>
      <c r="C294" t="s">
        <v>64</v>
      </c>
      <c r="D294" t="s">
        <v>16</v>
      </c>
      <c r="E294" s="6" t="s">
        <v>409</v>
      </c>
      <c r="F294" s="6" t="s">
        <v>298</v>
      </c>
      <c r="G294" s="1"/>
      <c r="H294" s="1"/>
      <c r="I294" t="s">
        <v>410</v>
      </c>
    </row>
    <row r="295" spans="1:9" ht="84" customHeight="1">
      <c r="A295" t="s">
        <v>297</v>
      </c>
      <c r="B295" t="s">
        <v>268</v>
      </c>
      <c r="C295" t="s">
        <v>64</v>
      </c>
      <c r="D295" t="s">
        <v>16</v>
      </c>
      <c r="E295" s="6" t="s">
        <v>411</v>
      </c>
      <c r="F295" s="6" t="s">
        <v>298</v>
      </c>
      <c r="G295" s="1"/>
      <c r="H295" s="1"/>
      <c r="I295" t="s">
        <v>410</v>
      </c>
    </row>
    <row r="296" spans="1:9" ht="84" customHeight="1">
      <c r="A296" t="s">
        <v>299</v>
      </c>
      <c r="B296" t="s">
        <v>268</v>
      </c>
      <c r="C296" t="s">
        <v>67</v>
      </c>
      <c r="D296" t="s">
        <v>16</v>
      </c>
      <c r="E296" s="6" t="s">
        <v>423</v>
      </c>
      <c r="F296" s="6" t="s">
        <v>35</v>
      </c>
      <c r="G296" s="2" t="str">
        <f t="shared" ref="G296:G319" si="1">IF(COUNT(G44)=0,"",G44)</f>
        <v/>
      </c>
      <c r="H296" s="2" t="s">
        <v>464</v>
      </c>
      <c r="I296" t="s">
        <v>424</v>
      </c>
    </row>
    <row r="297" spans="1:9" ht="84" customHeight="1">
      <c r="A297" t="s">
        <v>299</v>
      </c>
      <c r="B297" t="s">
        <v>268</v>
      </c>
      <c r="C297" t="s">
        <v>67</v>
      </c>
      <c r="D297" t="s">
        <v>16</v>
      </c>
      <c r="E297" s="6" t="s">
        <v>425</v>
      </c>
      <c r="F297" s="6" t="s">
        <v>35</v>
      </c>
      <c r="G297" s="2" t="str">
        <f t="shared" si="1"/>
        <v/>
      </c>
      <c r="H297" s="2" t="s">
        <v>465</v>
      </c>
      <c r="I297" t="s">
        <v>424</v>
      </c>
    </row>
    <row r="298" spans="1:9" ht="84" customHeight="1">
      <c r="A298" t="s">
        <v>300</v>
      </c>
      <c r="B298" t="s">
        <v>268</v>
      </c>
      <c r="C298" t="s">
        <v>69</v>
      </c>
      <c r="D298" t="s">
        <v>16</v>
      </c>
      <c r="E298" s="6" t="s">
        <v>426</v>
      </c>
      <c r="F298" s="6" t="s">
        <v>35</v>
      </c>
      <c r="G298" s="2" t="str">
        <f t="shared" si="1"/>
        <v/>
      </c>
      <c r="H298" s="2" t="s">
        <v>466</v>
      </c>
      <c r="I298" t="s">
        <v>427</v>
      </c>
    </row>
    <row r="299" spans="1:9" ht="84" customHeight="1">
      <c r="A299" t="s">
        <v>300</v>
      </c>
      <c r="B299" t="s">
        <v>268</v>
      </c>
      <c r="C299" t="s">
        <v>69</v>
      </c>
      <c r="D299" t="s">
        <v>16</v>
      </c>
      <c r="E299" s="6" t="s">
        <v>428</v>
      </c>
      <c r="F299" s="6" t="s">
        <v>35</v>
      </c>
      <c r="G299" s="2" t="str">
        <f t="shared" si="1"/>
        <v/>
      </c>
      <c r="H299" s="2" t="s">
        <v>467</v>
      </c>
      <c r="I299" t="s">
        <v>427</v>
      </c>
    </row>
    <row r="300" spans="1:9" ht="84" customHeight="1">
      <c r="A300" t="s">
        <v>301</v>
      </c>
      <c r="B300" t="s">
        <v>268</v>
      </c>
      <c r="C300" t="s">
        <v>71</v>
      </c>
      <c r="D300" t="s">
        <v>16</v>
      </c>
      <c r="E300" s="6" t="s">
        <v>429</v>
      </c>
      <c r="F300" s="6" t="s">
        <v>35</v>
      </c>
      <c r="G300" s="2" t="str">
        <f t="shared" si="1"/>
        <v/>
      </c>
      <c r="H300" s="2" t="s">
        <v>468</v>
      </c>
      <c r="I300" t="s">
        <v>430</v>
      </c>
    </row>
    <row r="301" spans="1:9" ht="84" customHeight="1">
      <c r="A301" t="s">
        <v>301</v>
      </c>
      <c r="B301" t="s">
        <v>268</v>
      </c>
      <c r="C301" t="s">
        <v>71</v>
      </c>
      <c r="D301" t="s">
        <v>16</v>
      </c>
      <c r="E301" s="6" t="s">
        <v>431</v>
      </c>
      <c r="F301" s="6" t="s">
        <v>35</v>
      </c>
      <c r="G301" s="2" t="str">
        <f t="shared" si="1"/>
        <v/>
      </c>
      <c r="H301" s="2" t="s">
        <v>469</v>
      </c>
      <c r="I301" t="s">
        <v>430</v>
      </c>
    </row>
    <row r="302" spans="1:9" ht="84" customHeight="1">
      <c r="A302" t="s">
        <v>301</v>
      </c>
      <c r="B302" t="s">
        <v>268</v>
      </c>
      <c r="C302" t="s">
        <v>71</v>
      </c>
      <c r="D302" t="s">
        <v>16</v>
      </c>
      <c r="E302" s="6" t="s">
        <v>432</v>
      </c>
      <c r="F302" s="6" t="s">
        <v>35</v>
      </c>
      <c r="G302" s="2" t="str">
        <f t="shared" si="1"/>
        <v/>
      </c>
      <c r="H302" s="2" t="s">
        <v>470</v>
      </c>
      <c r="I302" t="s">
        <v>430</v>
      </c>
    </row>
    <row r="303" spans="1:9" ht="84" customHeight="1">
      <c r="A303" t="s">
        <v>302</v>
      </c>
      <c r="B303" t="s">
        <v>268</v>
      </c>
      <c r="C303" t="s">
        <v>73</v>
      </c>
      <c r="D303" t="s">
        <v>16</v>
      </c>
      <c r="E303" s="6" t="s">
        <v>433</v>
      </c>
      <c r="F303" s="6" t="s">
        <v>35</v>
      </c>
      <c r="G303" s="2" t="str">
        <f t="shared" si="1"/>
        <v/>
      </c>
      <c r="H303" s="2" t="s">
        <v>471</v>
      </c>
      <c r="I303" t="s">
        <v>434</v>
      </c>
    </row>
    <row r="304" spans="1:9" ht="84" customHeight="1">
      <c r="A304" t="s">
        <v>302</v>
      </c>
      <c r="B304" t="s">
        <v>268</v>
      </c>
      <c r="C304" t="s">
        <v>73</v>
      </c>
      <c r="D304" t="s">
        <v>16</v>
      </c>
      <c r="E304" s="6" t="s">
        <v>435</v>
      </c>
      <c r="F304" s="6" t="s">
        <v>35</v>
      </c>
      <c r="G304" s="2" t="str">
        <f t="shared" si="1"/>
        <v/>
      </c>
      <c r="H304" s="2" t="s">
        <v>472</v>
      </c>
      <c r="I304" t="s">
        <v>434</v>
      </c>
    </row>
    <row r="305" spans="1:9" ht="84" customHeight="1">
      <c r="A305" t="s">
        <v>302</v>
      </c>
      <c r="B305" t="s">
        <v>268</v>
      </c>
      <c r="C305" t="s">
        <v>73</v>
      </c>
      <c r="D305" t="s">
        <v>16</v>
      </c>
      <c r="E305" s="6" t="s">
        <v>436</v>
      </c>
      <c r="F305" s="6" t="s">
        <v>35</v>
      </c>
      <c r="G305" s="2" t="str">
        <f t="shared" si="1"/>
        <v/>
      </c>
      <c r="H305" s="2" t="s">
        <v>473</v>
      </c>
      <c r="I305" t="s">
        <v>434</v>
      </c>
    </row>
    <row r="306" spans="1:9" ht="84" customHeight="1">
      <c r="A306" t="s">
        <v>303</v>
      </c>
      <c r="B306" t="s">
        <v>268</v>
      </c>
      <c r="C306" t="s">
        <v>75</v>
      </c>
      <c r="D306" t="s">
        <v>16</v>
      </c>
      <c r="E306" s="6" t="s">
        <v>437</v>
      </c>
      <c r="F306" s="6" t="s">
        <v>35</v>
      </c>
      <c r="G306" s="2" t="str">
        <f t="shared" si="1"/>
        <v/>
      </c>
      <c r="H306" s="2" t="s">
        <v>474</v>
      </c>
      <c r="I306" t="s">
        <v>438</v>
      </c>
    </row>
    <row r="307" spans="1:9" ht="84" customHeight="1">
      <c r="A307" t="s">
        <v>303</v>
      </c>
      <c r="B307" t="s">
        <v>268</v>
      </c>
      <c r="C307" t="s">
        <v>75</v>
      </c>
      <c r="D307" t="s">
        <v>16</v>
      </c>
      <c r="E307" s="6" t="s">
        <v>439</v>
      </c>
      <c r="F307" s="6" t="s">
        <v>35</v>
      </c>
      <c r="G307" s="2" t="str">
        <f t="shared" si="1"/>
        <v/>
      </c>
      <c r="H307" s="2" t="s">
        <v>475</v>
      </c>
      <c r="I307" t="s">
        <v>438</v>
      </c>
    </row>
    <row r="308" spans="1:9" ht="84" customHeight="1">
      <c r="A308" t="s">
        <v>304</v>
      </c>
      <c r="B308" t="s">
        <v>268</v>
      </c>
      <c r="C308" t="s">
        <v>77</v>
      </c>
      <c r="D308" t="s">
        <v>16</v>
      </c>
      <c r="E308" s="6" t="s">
        <v>423</v>
      </c>
      <c r="F308" s="6" t="s">
        <v>35</v>
      </c>
      <c r="G308" s="2" t="str">
        <f t="shared" si="1"/>
        <v/>
      </c>
      <c r="H308" s="2" t="s">
        <v>476</v>
      </c>
      <c r="I308" t="s">
        <v>427</v>
      </c>
    </row>
    <row r="309" spans="1:9" ht="84" customHeight="1">
      <c r="A309" t="s">
        <v>304</v>
      </c>
      <c r="B309" t="s">
        <v>268</v>
      </c>
      <c r="C309" t="s">
        <v>77</v>
      </c>
      <c r="D309" t="s">
        <v>16</v>
      </c>
      <c r="E309" s="6" t="s">
        <v>426</v>
      </c>
      <c r="F309" s="6" t="s">
        <v>35</v>
      </c>
      <c r="G309" s="2" t="str">
        <f t="shared" si="1"/>
        <v/>
      </c>
      <c r="H309" s="2" t="s">
        <v>477</v>
      </c>
      <c r="I309" t="s">
        <v>427</v>
      </c>
    </row>
    <row r="310" spans="1:9" ht="84" customHeight="1">
      <c r="A310" t="s">
        <v>305</v>
      </c>
      <c r="B310" t="s">
        <v>268</v>
      </c>
      <c r="C310" t="s">
        <v>79</v>
      </c>
      <c r="D310" t="s">
        <v>16</v>
      </c>
      <c r="E310" s="6" t="s">
        <v>440</v>
      </c>
      <c r="F310" s="6" t="s">
        <v>35</v>
      </c>
      <c r="G310" s="2" t="str">
        <f t="shared" si="1"/>
        <v/>
      </c>
      <c r="H310" s="2" t="s">
        <v>478</v>
      </c>
      <c r="I310" t="s">
        <v>441</v>
      </c>
    </row>
    <row r="311" spans="1:9" ht="84" customHeight="1">
      <c r="A311" t="s">
        <v>306</v>
      </c>
      <c r="B311" t="s">
        <v>268</v>
      </c>
      <c r="C311" t="s">
        <v>81</v>
      </c>
      <c r="D311" t="s">
        <v>16</v>
      </c>
      <c r="E311" s="6" t="s">
        <v>442</v>
      </c>
      <c r="F311" s="6" t="s">
        <v>35</v>
      </c>
      <c r="G311" s="2" t="str">
        <f t="shared" si="1"/>
        <v/>
      </c>
      <c r="H311" s="2" t="s">
        <v>479</v>
      </c>
      <c r="I311" t="s">
        <v>443</v>
      </c>
    </row>
    <row r="312" spans="1:9" ht="84" customHeight="1">
      <c r="A312" t="s">
        <v>306</v>
      </c>
      <c r="B312" t="s">
        <v>268</v>
      </c>
      <c r="C312" t="s">
        <v>81</v>
      </c>
      <c r="D312" t="s">
        <v>16</v>
      </c>
      <c r="E312" s="6" t="s">
        <v>444</v>
      </c>
      <c r="F312" s="6" t="s">
        <v>35</v>
      </c>
      <c r="G312" s="2" t="str">
        <f t="shared" si="1"/>
        <v/>
      </c>
      <c r="H312" s="2" t="s">
        <v>480</v>
      </c>
      <c r="I312" t="s">
        <v>443</v>
      </c>
    </row>
    <row r="313" spans="1:9" ht="84" customHeight="1">
      <c r="A313" t="s">
        <v>307</v>
      </c>
      <c r="B313" t="s">
        <v>268</v>
      </c>
      <c r="C313" t="s">
        <v>83</v>
      </c>
      <c r="D313" t="s">
        <v>16</v>
      </c>
      <c r="E313" s="6" t="s">
        <v>445</v>
      </c>
      <c r="F313" s="6" t="s">
        <v>35</v>
      </c>
      <c r="G313" s="2" t="str">
        <f t="shared" si="1"/>
        <v/>
      </c>
      <c r="H313" s="2" t="s">
        <v>481</v>
      </c>
      <c r="I313" t="s">
        <v>446</v>
      </c>
    </row>
    <row r="314" spans="1:9" ht="84" customHeight="1">
      <c r="A314" t="s">
        <v>307</v>
      </c>
      <c r="B314" t="s">
        <v>268</v>
      </c>
      <c r="C314" t="s">
        <v>83</v>
      </c>
      <c r="D314" t="s">
        <v>16</v>
      </c>
      <c r="E314" s="6" t="s">
        <v>447</v>
      </c>
      <c r="F314" s="6" t="s">
        <v>35</v>
      </c>
      <c r="G314" s="2" t="str">
        <f t="shared" si="1"/>
        <v/>
      </c>
      <c r="H314" s="2" t="s">
        <v>482</v>
      </c>
      <c r="I314" t="s">
        <v>446</v>
      </c>
    </row>
    <row r="315" spans="1:9" ht="84" customHeight="1">
      <c r="A315" t="s">
        <v>308</v>
      </c>
      <c r="B315" t="s">
        <v>268</v>
      </c>
      <c r="C315" t="s">
        <v>85</v>
      </c>
      <c r="D315" t="s">
        <v>16</v>
      </c>
      <c r="E315" s="6" t="s">
        <v>448</v>
      </c>
      <c r="F315" s="6" t="s">
        <v>35</v>
      </c>
      <c r="G315" s="2" t="str">
        <f t="shared" si="1"/>
        <v/>
      </c>
      <c r="H315" s="2" t="s">
        <v>483</v>
      </c>
      <c r="I315" t="s">
        <v>449</v>
      </c>
    </row>
    <row r="316" spans="1:9" ht="84" customHeight="1">
      <c r="A316" t="s">
        <v>308</v>
      </c>
      <c r="B316" t="s">
        <v>268</v>
      </c>
      <c r="C316" t="s">
        <v>85</v>
      </c>
      <c r="D316" t="s">
        <v>16</v>
      </c>
      <c r="E316" s="6" t="s">
        <v>450</v>
      </c>
      <c r="F316" s="6" t="s">
        <v>35</v>
      </c>
      <c r="G316" s="2" t="str">
        <f t="shared" si="1"/>
        <v/>
      </c>
      <c r="H316" s="2" t="s">
        <v>484</v>
      </c>
      <c r="I316" t="s">
        <v>449</v>
      </c>
    </row>
    <row r="317" spans="1:9" ht="84" customHeight="1">
      <c r="A317" t="s">
        <v>309</v>
      </c>
      <c r="B317" t="s">
        <v>268</v>
      </c>
      <c r="C317" t="s">
        <v>87</v>
      </c>
      <c r="D317" t="s">
        <v>16</v>
      </c>
      <c r="E317" s="6" t="s">
        <v>451</v>
      </c>
      <c r="F317" s="6" t="s">
        <v>35</v>
      </c>
      <c r="G317" s="2" t="str">
        <f t="shared" si="1"/>
        <v/>
      </c>
      <c r="H317" s="2" t="s">
        <v>485</v>
      </c>
      <c r="I317" t="s">
        <v>452</v>
      </c>
    </row>
    <row r="318" spans="1:9" ht="84" customHeight="1">
      <c r="A318" t="s">
        <v>309</v>
      </c>
      <c r="B318" t="s">
        <v>268</v>
      </c>
      <c r="C318" t="s">
        <v>87</v>
      </c>
      <c r="D318" t="s">
        <v>16</v>
      </c>
      <c r="E318" s="6" t="s">
        <v>453</v>
      </c>
      <c r="F318" s="6" t="s">
        <v>35</v>
      </c>
      <c r="G318" s="2" t="str">
        <f t="shared" si="1"/>
        <v/>
      </c>
      <c r="H318" s="2" t="s">
        <v>486</v>
      </c>
      <c r="I318" t="s">
        <v>452</v>
      </c>
    </row>
    <row r="319" spans="1:9" ht="84" customHeight="1">
      <c r="A319" t="s">
        <v>310</v>
      </c>
      <c r="B319" t="s">
        <v>268</v>
      </c>
      <c r="C319" t="s">
        <v>89</v>
      </c>
      <c r="D319" t="s">
        <v>16</v>
      </c>
      <c r="E319" s="6" t="s">
        <v>440</v>
      </c>
      <c r="F319" s="6" t="s">
        <v>35</v>
      </c>
      <c r="G319" s="2" t="str">
        <f t="shared" si="1"/>
        <v/>
      </c>
      <c r="H319" s="2" t="s">
        <v>487</v>
      </c>
      <c r="I319" t="s">
        <v>441</v>
      </c>
    </row>
    <row r="320" spans="1:9" ht="84" customHeight="1">
      <c r="A320" t="s">
        <v>311</v>
      </c>
      <c r="B320" t="s">
        <v>268</v>
      </c>
      <c r="C320" t="s">
        <v>15</v>
      </c>
      <c r="D320" t="s">
        <v>91</v>
      </c>
      <c r="E320" s="6" t="s">
        <v>376</v>
      </c>
      <c r="F320" s="6" t="s">
        <v>312</v>
      </c>
      <c r="G320" s="1"/>
      <c r="H320" s="1"/>
      <c r="I320" t="s">
        <v>377</v>
      </c>
    </row>
    <row r="321" spans="1:9" ht="84" customHeight="1">
      <c r="A321" t="s">
        <v>311</v>
      </c>
      <c r="B321" t="s">
        <v>268</v>
      </c>
      <c r="C321" t="s">
        <v>15</v>
      </c>
      <c r="D321" t="s">
        <v>91</v>
      </c>
      <c r="E321" s="6" t="s">
        <v>378</v>
      </c>
      <c r="F321" s="6" t="s">
        <v>312</v>
      </c>
      <c r="G321" s="1"/>
      <c r="H321" s="1"/>
      <c r="I321" t="s">
        <v>377</v>
      </c>
    </row>
    <row r="322" spans="1:9" ht="84" customHeight="1">
      <c r="A322" t="s">
        <v>313</v>
      </c>
      <c r="B322" t="s">
        <v>268</v>
      </c>
      <c r="C322" t="s">
        <v>19</v>
      </c>
      <c r="D322" t="s">
        <v>91</v>
      </c>
      <c r="E322" s="6" t="s">
        <v>379</v>
      </c>
      <c r="F322" s="6" t="s">
        <v>314</v>
      </c>
      <c r="G322" s="1"/>
      <c r="H322" s="1"/>
      <c r="I322" t="s">
        <v>380</v>
      </c>
    </row>
    <row r="323" spans="1:9" ht="84" customHeight="1">
      <c r="A323" t="s">
        <v>313</v>
      </c>
      <c r="B323" t="s">
        <v>268</v>
      </c>
      <c r="C323" t="s">
        <v>19</v>
      </c>
      <c r="D323" t="s">
        <v>91</v>
      </c>
      <c r="E323" s="6" t="s">
        <v>381</v>
      </c>
      <c r="F323" s="6" t="s">
        <v>314</v>
      </c>
      <c r="G323" s="1"/>
      <c r="H323" s="1"/>
      <c r="I323" t="s">
        <v>380</v>
      </c>
    </row>
    <row r="324" spans="1:9" ht="84" customHeight="1">
      <c r="A324" t="s">
        <v>315</v>
      </c>
      <c r="B324" t="s">
        <v>268</v>
      </c>
      <c r="C324" t="s">
        <v>22</v>
      </c>
      <c r="D324" t="s">
        <v>91</v>
      </c>
      <c r="E324" s="6" t="s">
        <v>382</v>
      </c>
      <c r="F324" s="6" t="s">
        <v>316</v>
      </c>
      <c r="G324" s="1"/>
      <c r="H324" s="1"/>
      <c r="I324" t="s">
        <v>383</v>
      </c>
    </row>
    <row r="325" spans="1:9" ht="84" customHeight="1">
      <c r="A325" t="s">
        <v>315</v>
      </c>
      <c r="B325" t="s">
        <v>268</v>
      </c>
      <c r="C325" t="s">
        <v>22</v>
      </c>
      <c r="D325" t="s">
        <v>91</v>
      </c>
      <c r="E325" s="6" t="s">
        <v>384</v>
      </c>
      <c r="F325" s="6" t="s">
        <v>316</v>
      </c>
      <c r="G325" s="1"/>
      <c r="H325" s="1"/>
      <c r="I325" t="s">
        <v>383</v>
      </c>
    </row>
    <row r="326" spans="1:9" ht="84" customHeight="1">
      <c r="A326" t="s">
        <v>317</v>
      </c>
      <c r="B326" t="s">
        <v>268</v>
      </c>
      <c r="C326" t="s">
        <v>25</v>
      </c>
      <c r="D326" t="s">
        <v>91</v>
      </c>
      <c r="E326" s="6" t="s">
        <v>385</v>
      </c>
      <c r="F326" s="6" t="s">
        <v>318</v>
      </c>
      <c r="G326" s="1"/>
      <c r="H326" s="1"/>
      <c r="I326" t="s">
        <v>386</v>
      </c>
    </row>
    <row r="327" spans="1:9" ht="84" customHeight="1">
      <c r="A327" t="s">
        <v>317</v>
      </c>
      <c r="B327" t="s">
        <v>268</v>
      </c>
      <c r="C327" t="s">
        <v>25</v>
      </c>
      <c r="D327" t="s">
        <v>91</v>
      </c>
      <c r="E327" s="6" t="s">
        <v>387</v>
      </c>
      <c r="F327" s="6" t="s">
        <v>318</v>
      </c>
      <c r="G327" s="1"/>
      <c r="H327" s="1"/>
      <c r="I327" t="s">
        <v>386</v>
      </c>
    </row>
    <row r="328" spans="1:9" ht="84" customHeight="1">
      <c r="A328" t="s">
        <v>317</v>
      </c>
      <c r="B328" t="s">
        <v>268</v>
      </c>
      <c r="C328" t="s">
        <v>25</v>
      </c>
      <c r="D328" t="s">
        <v>91</v>
      </c>
      <c r="E328" s="6" t="s">
        <v>388</v>
      </c>
      <c r="F328" s="6" t="s">
        <v>318</v>
      </c>
      <c r="G328" s="1"/>
      <c r="H328" s="1"/>
      <c r="I328" t="s">
        <v>386</v>
      </c>
    </row>
    <row r="329" spans="1:9" ht="84" customHeight="1">
      <c r="A329" t="s">
        <v>319</v>
      </c>
      <c r="B329" t="s">
        <v>268</v>
      </c>
      <c r="C329" t="s">
        <v>28</v>
      </c>
      <c r="D329" t="s">
        <v>91</v>
      </c>
      <c r="E329" s="6" t="s">
        <v>389</v>
      </c>
      <c r="F329" s="6" t="s">
        <v>320</v>
      </c>
      <c r="G329" s="1"/>
      <c r="H329" s="1"/>
      <c r="I329" t="s">
        <v>390</v>
      </c>
    </row>
    <row r="330" spans="1:9" ht="84" customHeight="1">
      <c r="A330" t="s">
        <v>319</v>
      </c>
      <c r="B330" t="s">
        <v>268</v>
      </c>
      <c r="C330" t="s">
        <v>28</v>
      </c>
      <c r="D330" t="s">
        <v>91</v>
      </c>
      <c r="E330" s="6" t="s">
        <v>391</v>
      </c>
      <c r="F330" s="6" t="s">
        <v>320</v>
      </c>
      <c r="G330" s="1"/>
      <c r="H330" s="1"/>
      <c r="I330" t="s">
        <v>390</v>
      </c>
    </row>
    <row r="331" spans="1:9" ht="84" customHeight="1">
      <c r="A331" t="s">
        <v>321</v>
      </c>
      <c r="B331" t="s">
        <v>268</v>
      </c>
      <c r="C331" t="s">
        <v>31</v>
      </c>
      <c r="D331" t="s">
        <v>91</v>
      </c>
      <c r="E331" s="6" t="s">
        <v>376</v>
      </c>
      <c r="F331" s="6" t="s">
        <v>322</v>
      </c>
      <c r="G331" s="1"/>
      <c r="H331" s="1"/>
      <c r="I331" t="s">
        <v>377</v>
      </c>
    </row>
    <row r="332" spans="1:9" ht="84" customHeight="1">
      <c r="A332" t="s">
        <v>321</v>
      </c>
      <c r="B332" t="s">
        <v>268</v>
      </c>
      <c r="C332" t="s">
        <v>31</v>
      </c>
      <c r="D332" t="s">
        <v>91</v>
      </c>
      <c r="E332" s="6" t="s">
        <v>378</v>
      </c>
      <c r="F332" s="6" t="s">
        <v>322</v>
      </c>
      <c r="G332" s="1"/>
      <c r="H332" s="1"/>
      <c r="I332" t="s">
        <v>377</v>
      </c>
    </row>
    <row r="333" spans="1:9" ht="84" customHeight="1">
      <c r="A333" t="s">
        <v>323</v>
      </c>
      <c r="B333" t="s">
        <v>268</v>
      </c>
      <c r="C333" t="s">
        <v>34</v>
      </c>
      <c r="D333" t="s">
        <v>91</v>
      </c>
      <c r="E333" s="6" t="s">
        <v>392</v>
      </c>
      <c r="F333" s="6" t="s">
        <v>324</v>
      </c>
      <c r="G333" s="1"/>
      <c r="H333" s="1"/>
      <c r="I333" t="s">
        <v>393</v>
      </c>
    </row>
    <row r="334" spans="1:9" ht="84" customHeight="1">
      <c r="A334" t="s">
        <v>323</v>
      </c>
      <c r="B334" t="s">
        <v>268</v>
      </c>
      <c r="C334" t="s">
        <v>34</v>
      </c>
      <c r="D334" t="s">
        <v>91</v>
      </c>
      <c r="E334" s="6" t="s">
        <v>394</v>
      </c>
      <c r="F334" s="6" t="s">
        <v>324</v>
      </c>
      <c r="G334" s="1"/>
      <c r="H334" s="1"/>
      <c r="I334" t="s">
        <v>393</v>
      </c>
    </row>
    <row r="335" spans="1:9" ht="84" customHeight="1">
      <c r="A335" t="s">
        <v>325</v>
      </c>
      <c r="B335" t="s">
        <v>268</v>
      </c>
      <c r="C335" t="s">
        <v>37</v>
      </c>
      <c r="D335" t="s">
        <v>91</v>
      </c>
      <c r="E335" s="6" t="s">
        <v>395</v>
      </c>
      <c r="F335" s="6" t="s">
        <v>326</v>
      </c>
      <c r="G335" s="1"/>
      <c r="H335" s="1"/>
      <c r="I335" t="s">
        <v>396</v>
      </c>
    </row>
    <row r="336" spans="1:9" ht="84" customHeight="1">
      <c r="A336" t="s">
        <v>325</v>
      </c>
      <c r="B336" t="s">
        <v>268</v>
      </c>
      <c r="C336" t="s">
        <v>37</v>
      </c>
      <c r="D336" t="s">
        <v>91</v>
      </c>
      <c r="E336" s="6" t="s">
        <v>397</v>
      </c>
      <c r="F336" s="6" t="s">
        <v>326</v>
      </c>
      <c r="G336" s="1"/>
      <c r="H336" s="1"/>
      <c r="I336" t="s">
        <v>396</v>
      </c>
    </row>
    <row r="337" spans="1:9" ht="84" customHeight="1">
      <c r="A337" t="s">
        <v>325</v>
      </c>
      <c r="B337" t="s">
        <v>268</v>
      </c>
      <c r="C337" t="s">
        <v>37</v>
      </c>
      <c r="D337" t="s">
        <v>91</v>
      </c>
      <c r="E337" s="6" t="s">
        <v>398</v>
      </c>
      <c r="F337" s="6" t="s">
        <v>326</v>
      </c>
      <c r="G337" s="1"/>
      <c r="H337" s="1"/>
      <c r="I337" t="s">
        <v>396</v>
      </c>
    </row>
    <row r="338" spans="1:9" ht="84" customHeight="1">
      <c r="A338" t="s">
        <v>327</v>
      </c>
      <c r="B338" t="s">
        <v>268</v>
      </c>
      <c r="C338" t="s">
        <v>40</v>
      </c>
      <c r="D338" t="s">
        <v>91</v>
      </c>
      <c r="E338" s="6" t="s">
        <v>399</v>
      </c>
      <c r="F338" s="6" t="s">
        <v>328</v>
      </c>
      <c r="G338" s="1"/>
      <c r="H338" s="1"/>
      <c r="I338" t="s">
        <v>400</v>
      </c>
    </row>
    <row r="339" spans="1:9" ht="84" customHeight="1">
      <c r="A339" t="s">
        <v>327</v>
      </c>
      <c r="B339" t="s">
        <v>268</v>
      </c>
      <c r="C339" t="s">
        <v>40</v>
      </c>
      <c r="D339" t="s">
        <v>91</v>
      </c>
      <c r="E339" s="6" t="s">
        <v>401</v>
      </c>
      <c r="F339" s="6" t="s">
        <v>328</v>
      </c>
      <c r="G339" s="1"/>
      <c r="H339" s="1"/>
      <c r="I339" t="s">
        <v>400</v>
      </c>
    </row>
    <row r="340" spans="1:9" ht="84" customHeight="1">
      <c r="A340" t="s">
        <v>329</v>
      </c>
      <c r="B340" t="s">
        <v>268</v>
      </c>
      <c r="C340" t="s">
        <v>42</v>
      </c>
      <c r="D340" t="s">
        <v>91</v>
      </c>
      <c r="E340" s="6" t="s">
        <v>402</v>
      </c>
      <c r="F340" s="6" t="s">
        <v>330</v>
      </c>
      <c r="G340" s="1"/>
      <c r="H340" s="1"/>
      <c r="I340" t="s">
        <v>403</v>
      </c>
    </row>
    <row r="341" spans="1:9" ht="84" customHeight="1">
      <c r="A341" t="s">
        <v>329</v>
      </c>
      <c r="B341" t="s">
        <v>268</v>
      </c>
      <c r="C341" t="s">
        <v>42</v>
      </c>
      <c r="D341" t="s">
        <v>91</v>
      </c>
      <c r="E341" s="6" t="s">
        <v>404</v>
      </c>
      <c r="F341" s="6" t="s">
        <v>330</v>
      </c>
      <c r="G341" s="1"/>
      <c r="H341" s="1"/>
      <c r="I341" t="s">
        <v>403</v>
      </c>
    </row>
    <row r="342" spans="1:9" ht="84" customHeight="1">
      <c r="A342" t="s">
        <v>329</v>
      </c>
      <c r="B342" t="s">
        <v>268</v>
      </c>
      <c r="C342" t="s">
        <v>42</v>
      </c>
      <c r="D342" t="s">
        <v>91</v>
      </c>
      <c r="E342" s="6" t="s">
        <v>405</v>
      </c>
      <c r="F342" s="6" t="s">
        <v>330</v>
      </c>
      <c r="G342" s="1"/>
      <c r="H342" s="1"/>
      <c r="I342" t="s">
        <v>403</v>
      </c>
    </row>
    <row r="343" spans="1:9" ht="84" customHeight="1">
      <c r="A343" t="s">
        <v>331</v>
      </c>
      <c r="B343" t="s">
        <v>268</v>
      </c>
      <c r="C343" t="s">
        <v>45</v>
      </c>
      <c r="D343" t="s">
        <v>91</v>
      </c>
      <c r="E343" s="6" t="s">
        <v>406</v>
      </c>
      <c r="F343" s="6" t="s">
        <v>332</v>
      </c>
      <c r="G343" s="1"/>
      <c r="H343" s="1"/>
      <c r="I343" t="s">
        <v>407</v>
      </c>
    </row>
    <row r="344" spans="1:9" ht="84" customHeight="1">
      <c r="A344" t="s">
        <v>331</v>
      </c>
      <c r="B344" t="s">
        <v>268</v>
      </c>
      <c r="C344" t="s">
        <v>45</v>
      </c>
      <c r="D344" t="s">
        <v>91</v>
      </c>
      <c r="E344" s="6" t="s">
        <v>408</v>
      </c>
      <c r="F344" s="6" t="s">
        <v>332</v>
      </c>
      <c r="G344" s="1"/>
      <c r="H344" s="1"/>
      <c r="I344" t="s">
        <v>407</v>
      </c>
    </row>
    <row r="345" spans="1:9" ht="84" customHeight="1">
      <c r="A345" t="s">
        <v>333</v>
      </c>
      <c r="B345" t="s">
        <v>268</v>
      </c>
      <c r="C345" t="s">
        <v>47</v>
      </c>
      <c r="D345" t="s">
        <v>91</v>
      </c>
      <c r="E345" s="6" t="s">
        <v>392</v>
      </c>
      <c r="F345" s="6" t="s">
        <v>334</v>
      </c>
      <c r="G345" s="1"/>
      <c r="H345" s="1"/>
      <c r="I345" t="s">
        <v>393</v>
      </c>
    </row>
    <row r="346" spans="1:9" ht="84" customHeight="1">
      <c r="A346" t="s">
        <v>333</v>
      </c>
      <c r="B346" t="s">
        <v>268</v>
      </c>
      <c r="C346" t="s">
        <v>47</v>
      </c>
      <c r="D346" t="s">
        <v>91</v>
      </c>
      <c r="E346" s="6" t="s">
        <v>394</v>
      </c>
      <c r="F346" s="6" t="s">
        <v>334</v>
      </c>
      <c r="G346" s="1"/>
      <c r="H346" s="1"/>
      <c r="I346" t="s">
        <v>393</v>
      </c>
    </row>
    <row r="347" spans="1:9" ht="84" customHeight="1">
      <c r="A347" t="s">
        <v>335</v>
      </c>
      <c r="B347" t="s">
        <v>268</v>
      </c>
      <c r="C347" t="s">
        <v>50</v>
      </c>
      <c r="D347" t="s">
        <v>91</v>
      </c>
      <c r="E347" s="6" t="s">
        <v>409</v>
      </c>
      <c r="F347" s="6"/>
      <c r="G347" s="1"/>
      <c r="H347" s="1"/>
      <c r="I347" t="s">
        <v>410</v>
      </c>
    </row>
    <row r="348" spans="1:9" ht="84" customHeight="1">
      <c r="A348" t="s">
        <v>335</v>
      </c>
      <c r="B348" t="s">
        <v>268</v>
      </c>
      <c r="C348" t="s">
        <v>50</v>
      </c>
      <c r="D348" t="s">
        <v>91</v>
      </c>
      <c r="E348" s="6" t="s">
        <v>411</v>
      </c>
      <c r="F348" s="6"/>
      <c r="G348" s="1"/>
      <c r="H348" s="1"/>
      <c r="I348" t="s">
        <v>410</v>
      </c>
    </row>
    <row r="349" spans="1:9" ht="84" customHeight="1">
      <c r="A349" t="s">
        <v>336</v>
      </c>
      <c r="B349" t="s">
        <v>268</v>
      </c>
      <c r="C349" t="s">
        <v>53</v>
      </c>
      <c r="D349" t="s">
        <v>91</v>
      </c>
      <c r="E349" s="6" t="s">
        <v>412</v>
      </c>
      <c r="F349" s="6"/>
      <c r="G349" s="1"/>
      <c r="H349" s="1"/>
      <c r="I349" t="s">
        <v>413</v>
      </c>
    </row>
    <row r="350" spans="1:9" ht="84" customHeight="1">
      <c r="A350" t="s">
        <v>336</v>
      </c>
      <c r="B350" t="s">
        <v>268</v>
      </c>
      <c r="C350" t="s">
        <v>53</v>
      </c>
      <c r="D350" t="s">
        <v>91</v>
      </c>
      <c r="E350" s="6" t="s">
        <v>381</v>
      </c>
      <c r="F350" s="6"/>
      <c r="G350" s="1"/>
      <c r="H350" s="1"/>
      <c r="I350" t="s">
        <v>413</v>
      </c>
    </row>
    <row r="351" spans="1:9" ht="84" customHeight="1">
      <c r="A351" t="s">
        <v>337</v>
      </c>
      <c r="B351" t="s">
        <v>268</v>
      </c>
      <c r="C351" t="s">
        <v>56</v>
      </c>
      <c r="D351" t="s">
        <v>91</v>
      </c>
      <c r="E351" s="6" t="s">
        <v>414</v>
      </c>
      <c r="F351" s="6" t="s">
        <v>338</v>
      </c>
      <c r="G351" s="1"/>
      <c r="H351" s="1"/>
      <c r="I351" t="s">
        <v>415</v>
      </c>
    </row>
    <row r="352" spans="1:9" ht="84" customHeight="1">
      <c r="A352" t="s">
        <v>337</v>
      </c>
      <c r="B352" t="s">
        <v>268</v>
      </c>
      <c r="C352" t="s">
        <v>56</v>
      </c>
      <c r="D352" t="s">
        <v>91</v>
      </c>
      <c r="E352" s="6" t="s">
        <v>416</v>
      </c>
      <c r="F352" s="6" t="s">
        <v>338</v>
      </c>
      <c r="G352" s="1"/>
      <c r="H352" s="1"/>
      <c r="I352" t="s">
        <v>415</v>
      </c>
    </row>
    <row r="353" spans="1:9" ht="84" customHeight="1">
      <c r="A353" t="s">
        <v>339</v>
      </c>
      <c r="B353" t="s">
        <v>268</v>
      </c>
      <c r="C353" t="s">
        <v>58</v>
      </c>
      <c r="D353" t="s">
        <v>91</v>
      </c>
      <c r="E353" s="6" t="s">
        <v>417</v>
      </c>
      <c r="F353" s="6" t="s">
        <v>340</v>
      </c>
      <c r="G353" s="1"/>
      <c r="H353" s="1"/>
      <c r="I353" t="s">
        <v>418</v>
      </c>
    </row>
    <row r="354" spans="1:9" ht="84" customHeight="1">
      <c r="A354" t="s">
        <v>339</v>
      </c>
      <c r="B354" t="s">
        <v>268</v>
      </c>
      <c r="C354" t="s">
        <v>58</v>
      </c>
      <c r="D354" t="s">
        <v>91</v>
      </c>
      <c r="E354" s="6" t="s">
        <v>419</v>
      </c>
      <c r="F354" s="6" t="s">
        <v>340</v>
      </c>
      <c r="G354" s="1"/>
      <c r="H354" s="1"/>
      <c r="I354" t="s">
        <v>418</v>
      </c>
    </row>
    <row r="355" spans="1:9" ht="84" customHeight="1">
      <c r="A355" t="s">
        <v>341</v>
      </c>
      <c r="B355" t="s">
        <v>268</v>
      </c>
      <c r="C355" t="s">
        <v>61</v>
      </c>
      <c r="D355" t="s">
        <v>91</v>
      </c>
      <c r="E355" s="6" t="s">
        <v>420</v>
      </c>
      <c r="F355" s="6" t="s">
        <v>342</v>
      </c>
      <c r="G355" s="1"/>
      <c r="H355" s="1"/>
      <c r="I355" t="s">
        <v>421</v>
      </c>
    </row>
    <row r="356" spans="1:9" ht="84" customHeight="1">
      <c r="A356" t="s">
        <v>341</v>
      </c>
      <c r="B356" t="s">
        <v>268</v>
      </c>
      <c r="C356" t="s">
        <v>61</v>
      </c>
      <c r="D356" t="s">
        <v>91</v>
      </c>
      <c r="E356" s="6" t="s">
        <v>422</v>
      </c>
      <c r="F356" s="6" t="s">
        <v>342</v>
      </c>
      <c r="G356" s="1"/>
      <c r="H356" s="1"/>
      <c r="I356" t="s">
        <v>421</v>
      </c>
    </row>
    <row r="357" spans="1:9" ht="84" customHeight="1">
      <c r="A357" t="s">
        <v>343</v>
      </c>
      <c r="B357" t="s">
        <v>268</v>
      </c>
      <c r="C357" t="s">
        <v>64</v>
      </c>
      <c r="D357" t="s">
        <v>91</v>
      </c>
      <c r="E357" s="6" t="s">
        <v>409</v>
      </c>
      <c r="F357" s="6"/>
      <c r="G357" s="2" t="str">
        <f>IF(COUNT(G105)=0,"",G105)</f>
        <v/>
      </c>
      <c r="H357" s="2" t="s">
        <v>488</v>
      </c>
      <c r="I357" t="s">
        <v>410</v>
      </c>
    </row>
    <row r="358" spans="1:9" ht="84" customHeight="1">
      <c r="A358" t="s">
        <v>343</v>
      </c>
      <c r="B358" t="s">
        <v>268</v>
      </c>
      <c r="C358" t="s">
        <v>64</v>
      </c>
      <c r="D358" t="s">
        <v>91</v>
      </c>
      <c r="E358" s="6" t="s">
        <v>411</v>
      </c>
      <c r="F358" s="6"/>
      <c r="G358" s="2" t="str">
        <f>IF(COUNT(G106)=0,"",G106)</f>
        <v/>
      </c>
      <c r="H358" s="2" t="s">
        <v>489</v>
      </c>
      <c r="I358" t="s">
        <v>410</v>
      </c>
    </row>
    <row r="359" spans="1:9" ht="84" customHeight="1">
      <c r="A359" t="s">
        <v>345</v>
      </c>
      <c r="B359" t="s">
        <v>268</v>
      </c>
      <c r="C359" t="s">
        <v>67</v>
      </c>
      <c r="D359" t="s">
        <v>91</v>
      </c>
      <c r="E359" s="6" t="s">
        <v>423</v>
      </c>
      <c r="F359" s="6" t="s">
        <v>346</v>
      </c>
      <c r="G359" s="1"/>
      <c r="H359" s="1"/>
      <c r="I359" t="s">
        <v>424</v>
      </c>
    </row>
    <row r="360" spans="1:9" ht="84" customHeight="1">
      <c r="A360" t="s">
        <v>345</v>
      </c>
      <c r="B360" t="s">
        <v>268</v>
      </c>
      <c r="C360" t="s">
        <v>67</v>
      </c>
      <c r="D360" t="s">
        <v>91</v>
      </c>
      <c r="E360" s="6" t="s">
        <v>425</v>
      </c>
      <c r="F360" s="6" t="s">
        <v>346</v>
      </c>
      <c r="G360" s="1"/>
      <c r="H360" s="1"/>
      <c r="I360" t="s">
        <v>424</v>
      </c>
    </row>
    <row r="361" spans="1:9" ht="84" customHeight="1">
      <c r="A361" t="s">
        <v>347</v>
      </c>
      <c r="B361" t="s">
        <v>268</v>
      </c>
      <c r="C361" t="s">
        <v>69</v>
      </c>
      <c r="D361" t="s">
        <v>91</v>
      </c>
      <c r="E361" s="6" t="s">
        <v>426</v>
      </c>
      <c r="F361" s="6" t="s">
        <v>348</v>
      </c>
      <c r="G361" s="1"/>
      <c r="H361" s="1"/>
      <c r="I361" t="s">
        <v>427</v>
      </c>
    </row>
    <row r="362" spans="1:9" ht="84" customHeight="1">
      <c r="A362" t="s">
        <v>347</v>
      </c>
      <c r="B362" t="s">
        <v>268</v>
      </c>
      <c r="C362" t="s">
        <v>69</v>
      </c>
      <c r="D362" t="s">
        <v>91</v>
      </c>
      <c r="E362" s="6" t="s">
        <v>428</v>
      </c>
      <c r="F362" s="6" t="s">
        <v>348</v>
      </c>
      <c r="G362" s="1"/>
      <c r="H362" s="1"/>
      <c r="I362" t="s">
        <v>427</v>
      </c>
    </row>
    <row r="363" spans="1:9" ht="84" customHeight="1">
      <c r="A363" t="s">
        <v>349</v>
      </c>
      <c r="B363" t="s">
        <v>268</v>
      </c>
      <c r="C363" t="s">
        <v>71</v>
      </c>
      <c r="D363" t="s">
        <v>91</v>
      </c>
      <c r="E363" s="6" t="s">
        <v>429</v>
      </c>
      <c r="F363" s="6" t="s">
        <v>350</v>
      </c>
      <c r="G363" s="1"/>
      <c r="H363" s="1"/>
      <c r="I363" t="s">
        <v>430</v>
      </c>
    </row>
    <row r="364" spans="1:9" ht="84" customHeight="1">
      <c r="A364" t="s">
        <v>349</v>
      </c>
      <c r="B364" t="s">
        <v>268</v>
      </c>
      <c r="C364" t="s">
        <v>71</v>
      </c>
      <c r="D364" t="s">
        <v>91</v>
      </c>
      <c r="E364" s="6" t="s">
        <v>431</v>
      </c>
      <c r="F364" s="6" t="s">
        <v>350</v>
      </c>
      <c r="G364" s="1"/>
      <c r="H364" s="1"/>
      <c r="I364" t="s">
        <v>430</v>
      </c>
    </row>
    <row r="365" spans="1:9" ht="84" customHeight="1">
      <c r="A365" t="s">
        <v>349</v>
      </c>
      <c r="B365" t="s">
        <v>268</v>
      </c>
      <c r="C365" t="s">
        <v>71</v>
      </c>
      <c r="D365" t="s">
        <v>91</v>
      </c>
      <c r="E365" s="6" t="s">
        <v>432</v>
      </c>
      <c r="F365" s="6" t="s">
        <v>350</v>
      </c>
      <c r="G365" s="1"/>
      <c r="H365" s="1"/>
      <c r="I365" t="s">
        <v>430</v>
      </c>
    </row>
    <row r="366" spans="1:9" ht="84" customHeight="1">
      <c r="A366" t="s">
        <v>351</v>
      </c>
      <c r="B366" t="s">
        <v>268</v>
      </c>
      <c r="C366" t="s">
        <v>73</v>
      </c>
      <c r="D366" t="s">
        <v>91</v>
      </c>
      <c r="E366" s="6" t="s">
        <v>433</v>
      </c>
      <c r="F366" s="6" t="s">
        <v>352</v>
      </c>
      <c r="G366" s="1"/>
      <c r="H366" s="1"/>
      <c r="I366" t="s">
        <v>434</v>
      </c>
    </row>
    <row r="367" spans="1:9" ht="84" customHeight="1">
      <c r="A367" t="s">
        <v>351</v>
      </c>
      <c r="B367" t="s">
        <v>268</v>
      </c>
      <c r="C367" t="s">
        <v>73</v>
      </c>
      <c r="D367" t="s">
        <v>91</v>
      </c>
      <c r="E367" s="6" t="s">
        <v>435</v>
      </c>
      <c r="F367" s="6" t="s">
        <v>352</v>
      </c>
      <c r="G367" s="1"/>
      <c r="H367" s="1"/>
      <c r="I367" t="s">
        <v>434</v>
      </c>
    </row>
    <row r="368" spans="1:9" ht="84" customHeight="1">
      <c r="A368" t="s">
        <v>351</v>
      </c>
      <c r="B368" t="s">
        <v>268</v>
      </c>
      <c r="C368" t="s">
        <v>73</v>
      </c>
      <c r="D368" t="s">
        <v>91</v>
      </c>
      <c r="E368" s="6" t="s">
        <v>436</v>
      </c>
      <c r="F368" s="6" t="s">
        <v>352</v>
      </c>
      <c r="G368" s="1"/>
      <c r="H368" s="1"/>
      <c r="I368" t="s">
        <v>434</v>
      </c>
    </row>
    <row r="369" spans="1:9" ht="84" customHeight="1">
      <c r="A369" t="s">
        <v>353</v>
      </c>
      <c r="B369" t="s">
        <v>268</v>
      </c>
      <c r="C369" t="s">
        <v>75</v>
      </c>
      <c r="D369" t="s">
        <v>91</v>
      </c>
      <c r="E369" s="6" t="s">
        <v>437</v>
      </c>
      <c r="F369" s="6" t="s">
        <v>354</v>
      </c>
      <c r="G369" s="1"/>
      <c r="H369" s="1"/>
      <c r="I369" t="s">
        <v>438</v>
      </c>
    </row>
    <row r="370" spans="1:9" ht="84" customHeight="1">
      <c r="A370" t="s">
        <v>353</v>
      </c>
      <c r="B370" t="s">
        <v>268</v>
      </c>
      <c r="C370" t="s">
        <v>75</v>
      </c>
      <c r="D370" t="s">
        <v>91</v>
      </c>
      <c r="E370" s="6" t="s">
        <v>439</v>
      </c>
      <c r="F370" s="6" t="s">
        <v>354</v>
      </c>
      <c r="G370" s="1"/>
      <c r="H370" s="1"/>
      <c r="I370" t="s">
        <v>438</v>
      </c>
    </row>
    <row r="371" spans="1:9" ht="84" customHeight="1">
      <c r="A371" t="s">
        <v>355</v>
      </c>
      <c r="B371" t="s">
        <v>268</v>
      </c>
      <c r="C371" t="s">
        <v>77</v>
      </c>
      <c r="D371" t="s">
        <v>91</v>
      </c>
      <c r="E371" s="6" t="s">
        <v>423</v>
      </c>
      <c r="F371" s="6" t="s">
        <v>356</v>
      </c>
      <c r="G371" s="1"/>
      <c r="H371" s="1"/>
      <c r="I371" t="s">
        <v>427</v>
      </c>
    </row>
    <row r="372" spans="1:9" ht="84" customHeight="1">
      <c r="A372" t="s">
        <v>355</v>
      </c>
      <c r="B372" t="s">
        <v>268</v>
      </c>
      <c r="C372" t="s">
        <v>77</v>
      </c>
      <c r="D372" t="s">
        <v>91</v>
      </c>
      <c r="E372" s="6" t="s">
        <v>426</v>
      </c>
      <c r="F372" s="6" t="s">
        <v>356</v>
      </c>
      <c r="G372" s="1"/>
      <c r="H372" s="1"/>
      <c r="I372" t="s">
        <v>427</v>
      </c>
    </row>
    <row r="373" spans="1:9" ht="84" customHeight="1">
      <c r="A373" t="s">
        <v>357</v>
      </c>
      <c r="B373" t="s">
        <v>268</v>
      </c>
      <c r="C373" t="s">
        <v>79</v>
      </c>
      <c r="D373" t="s">
        <v>91</v>
      </c>
      <c r="E373" s="6" t="s">
        <v>440</v>
      </c>
      <c r="F373" s="6" t="s">
        <v>137</v>
      </c>
      <c r="G373" s="2" t="str">
        <f>IF(COUNT(G121)=0,"",G121)</f>
        <v/>
      </c>
      <c r="H373" s="2" t="s">
        <v>490</v>
      </c>
      <c r="I373" t="s">
        <v>441</v>
      </c>
    </row>
    <row r="374" spans="1:9" ht="84" customHeight="1">
      <c r="A374" t="s">
        <v>359</v>
      </c>
      <c r="B374" t="s">
        <v>268</v>
      </c>
      <c r="C374" t="s">
        <v>81</v>
      </c>
      <c r="D374" t="s">
        <v>91</v>
      </c>
      <c r="E374" s="6" t="s">
        <v>442</v>
      </c>
      <c r="F374" s="6"/>
      <c r="G374" s="2" t="str">
        <f>IF(COUNT(G122)=0,"",G122)</f>
        <v/>
      </c>
      <c r="H374" s="2" t="s">
        <v>491</v>
      </c>
      <c r="I374" t="s">
        <v>443</v>
      </c>
    </row>
    <row r="375" spans="1:9" ht="84" customHeight="1">
      <c r="A375" t="s">
        <v>359</v>
      </c>
      <c r="B375" t="s">
        <v>268</v>
      </c>
      <c r="C375" t="s">
        <v>81</v>
      </c>
      <c r="D375" t="s">
        <v>91</v>
      </c>
      <c r="E375" s="6" t="s">
        <v>444</v>
      </c>
      <c r="F375" s="6"/>
      <c r="G375" s="2" t="str">
        <f>IF(COUNT(G123)=0,"",G123)</f>
        <v/>
      </c>
      <c r="H375" s="2" t="s">
        <v>492</v>
      </c>
      <c r="I375" t="s">
        <v>443</v>
      </c>
    </row>
    <row r="376" spans="1:9" ht="84" customHeight="1">
      <c r="A376" t="s">
        <v>361</v>
      </c>
      <c r="B376" t="s">
        <v>268</v>
      </c>
      <c r="C376" t="s">
        <v>83</v>
      </c>
      <c r="D376" t="s">
        <v>91</v>
      </c>
      <c r="E376" s="6" t="s">
        <v>445</v>
      </c>
      <c r="F376" s="6" t="s">
        <v>362</v>
      </c>
      <c r="G376" s="1"/>
      <c r="H376" s="1"/>
      <c r="I376" t="s">
        <v>446</v>
      </c>
    </row>
    <row r="377" spans="1:9" ht="84" customHeight="1">
      <c r="A377" t="s">
        <v>361</v>
      </c>
      <c r="B377" t="s">
        <v>268</v>
      </c>
      <c r="C377" t="s">
        <v>83</v>
      </c>
      <c r="D377" t="s">
        <v>91</v>
      </c>
      <c r="E377" s="6" t="s">
        <v>447</v>
      </c>
      <c r="F377" s="6" t="s">
        <v>362</v>
      </c>
      <c r="G377" s="1"/>
      <c r="H377" s="1"/>
      <c r="I377" t="s">
        <v>446</v>
      </c>
    </row>
    <row r="378" spans="1:9" ht="84" customHeight="1">
      <c r="A378" t="s">
        <v>363</v>
      </c>
      <c r="B378" t="s">
        <v>268</v>
      </c>
      <c r="C378" t="s">
        <v>85</v>
      </c>
      <c r="D378" t="s">
        <v>91</v>
      </c>
      <c r="E378" s="6" t="s">
        <v>448</v>
      </c>
      <c r="F378" s="6" t="s">
        <v>364</v>
      </c>
      <c r="G378" s="1"/>
      <c r="H378" s="1"/>
      <c r="I378" t="s">
        <v>449</v>
      </c>
    </row>
    <row r="379" spans="1:9" ht="84" customHeight="1">
      <c r="A379" t="s">
        <v>363</v>
      </c>
      <c r="B379" t="s">
        <v>268</v>
      </c>
      <c r="C379" t="s">
        <v>85</v>
      </c>
      <c r="D379" t="s">
        <v>91</v>
      </c>
      <c r="E379" s="6" t="s">
        <v>450</v>
      </c>
      <c r="F379" s="6" t="s">
        <v>364</v>
      </c>
      <c r="G379" s="1"/>
      <c r="H379" s="1"/>
      <c r="I379" t="s">
        <v>449</v>
      </c>
    </row>
    <row r="380" spans="1:9" ht="84" customHeight="1">
      <c r="A380" t="s">
        <v>365</v>
      </c>
      <c r="B380" t="s">
        <v>268</v>
      </c>
      <c r="C380" t="s">
        <v>87</v>
      </c>
      <c r="D380" t="s">
        <v>91</v>
      </c>
      <c r="E380" s="6" t="s">
        <v>451</v>
      </c>
      <c r="F380" s="6" t="s">
        <v>366</v>
      </c>
      <c r="G380" s="1"/>
      <c r="H380" s="1"/>
      <c r="I380" t="s">
        <v>452</v>
      </c>
    </row>
    <row r="381" spans="1:9" ht="84" customHeight="1">
      <c r="A381" t="s">
        <v>365</v>
      </c>
      <c r="B381" t="s">
        <v>268</v>
      </c>
      <c r="C381" t="s">
        <v>87</v>
      </c>
      <c r="D381" t="s">
        <v>91</v>
      </c>
      <c r="E381" s="6" t="s">
        <v>453</v>
      </c>
      <c r="F381" s="6" t="s">
        <v>366</v>
      </c>
      <c r="G381" s="1"/>
      <c r="H381" s="1"/>
      <c r="I381" t="s">
        <v>452</v>
      </c>
    </row>
    <row r="382" spans="1:9" ht="84" customHeight="1">
      <c r="A382" t="s">
        <v>367</v>
      </c>
      <c r="B382" t="s">
        <v>268</v>
      </c>
      <c r="C382" t="s">
        <v>89</v>
      </c>
      <c r="D382" t="s">
        <v>91</v>
      </c>
      <c r="E382" s="6" t="s">
        <v>440</v>
      </c>
      <c r="F382" s="6" t="s">
        <v>368</v>
      </c>
      <c r="G382" s="1"/>
      <c r="H382" s="1"/>
      <c r="I382" t="s">
        <v>441</v>
      </c>
    </row>
    <row r="385" spans="1:1">
      <c r="A385" t="s">
        <v>493</v>
      </c>
    </row>
  </sheetData>
  <phoneticPr fontId="7" type="noConversion"/>
  <dataValidations count="1">
    <dataValidation type="whole" sqref="G5:G382" xr:uid="{00000000-0002-0000-0100-000000000000}">
      <formula1>0</formula1>
      <formula2>1</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18"/>
  <sheetViews>
    <sheetView showGridLines="0" workbookViewId="0"/>
  </sheetViews>
  <sheetFormatPr defaultRowHeight="14.25"/>
  <cols>
    <col min="1" max="1" width="100" customWidth="1"/>
    <col min="2" max="2" width="25" customWidth="1"/>
  </cols>
  <sheetData>
    <row r="2" spans="1:2" ht="20.25">
      <c r="A2" s="7" t="s">
        <v>494</v>
      </c>
    </row>
    <row r="4" spans="1:2">
      <c r="A4" t="s">
        <v>495</v>
      </c>
      <c r="B4">
        <v>180</v>
      </c>
    </row>
    <row r="5" spans="1:2">
      <c r="A5" t="s">
        <v>496</v>
      </c>
      <c r="B5">
        <v>143</v>
      </c>
    </row>
    <row r="6" spans="1:2">
      <c r="A6" t="s">
        <v>497</v>
      </c>
      <c r="B6">
        <v>37</v>
      </c>
    </row>
    <row r="7" spans="1:2">
      <c r="A7" t="s">
        <v>498</v>
      </c>
      <c r="B7">
        <v>378</v>
      </c>
    </row>
    <row r="8" spans="1:2">
      <c r="A8" t="s">
        <v>499</v>
      </c>
      <c r="B8">
        <v>305</v>
      </c>
    </row>
    <row r="9" spans="1:2">
      <c r="A9" t="s">
        <v>500</v>
      </c>
      <c r="B9">
        <v>73</v>
      </c>
    </row>
    <row r="10" spans="1:2">
      <c r="A10" t="s">
        <v>501</v>
      </c>
      <c r="B10" t="s">
        <v>502</v>
      </c>
    </row>
    <row r="12" spans="1:2" ht="16.5">
      <c r="A12" s="8" t="s">
        <v>503</v>
      </c>
    </row>
    <row r="13" spans="1:2">
      <c r="A13" t="s">
        <v>504</v>
      </c>
    </row>
    <row r="14" spans="1:2">
      <c r="A14" t="s">
        <v>505</v>
      </c>
    </row>
    <row r="15" spans="1:2">
      <c r="A15" t="s">
        <v>506</v>
      </c>
    </row>
    <row r="16" spans="1:2">
      <c r="A16" t="s">
        <v>507</v>
      </c>
    </row>
    <row r="18" spans="1:1">
      <c r="A18" t="s">
        <v>508</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Response review</vt:lpstr>
      <vt:lpstr>Criterion review</vt:lpstr>
      <vt:lpstr>Review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ChengXingYu</dc:creator>
  <cp:lastModifiedBy>Xingyu Chen</cp:lastModifiedBy>
  <dcterms:created xsi:type="dcterms:W3CDTF">2026-10-02T05:50:53Z</dcterms:created>
  <dcterms:modified xsi:type="dcterms:W3CDTF">2026-10-02T05:50:53Z</dcterms:modified>
</cp:coreProperties>
</file>